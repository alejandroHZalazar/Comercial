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Hoja1" sheetId="1" r:id="rId1"/>
    <sheet name="Hoja2" sheetId="2" r:id="rId2"/>
    <sheet name="Hoja3" sheetId="3" r:id="rId3"/>
  </sheets>
  <definedNames>
    <definedName name="barra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<sst xmlns="http://schemas.openxmlformats.org/spreadsheetml/2006/main" count="364" uniqueCount="363">
  <si>
    <t>Cod_Proveedor</t>
  </si>
  <si>
    <t>Cod_Barras</t>
  </si>
  <si>
    <t>Descripcion</t>
  </si>
  <si>
    <t>Rubro</t>
  </si>
  <si>
    <t>IVA</t>
  </si>
  <si>
    <t>Proveedor</t>
  </si>
  <si>
    <t>P.Proveedor</t>
  </si>
  <si>
    <t>P.Costo</t>
  </si>
  <si>
    <t>P.Lista</t>
  </si>
  <si>
    <t>Stock</t>
  </si>
  <si>
    <t>Cant Minima</t>
  </si>
  <si>
    <t>P38.002.02</t>
  </si>
  <si>
    <t>Mamadera FC+ 300ml Control Temperatura Cocodrilo</t>
  </si>
  <si>
    <t>P38.002.14</t>
  </si>
  <si>
    <t>Mamadera FC+ 300ml Control Temperatura Jirafa</t>
  </si>
  <si>
    <t>P38.003.02</t>
  </si>
  <si>
    <t>Mamadera FC+ 150 ml Control de Temperatura Cocodrilo</t>
  </si>
  <si>
    <t>P38.003.14</t>
  </si>
  <si>
    <t>Mamadera FC+ 150 ml Control de Temperatura Jirafa</t>
  </si>
  <si>
    <t>P38.004.05</t>
  </si>
  <si>
    <t>Mamadera FC+ 150 ml Control de Temperatura Corazón</t>
  </si>
  <si>
    <t>P38.005.98</t>
  </si>
  <si>
    <t>Set de 2 Cucharas Largas - Colores Surtidos</t>
  </si>
  <si>
    <t>P38.006.98</t>
  </si>
  <si>
    <t>Set de 2 Cucharas Largas de Silicona - Colores Surtidos</t>
  </si>
  <si>
    <t>P38.007.98</t>
  </si>
  <si>
    <t>Bowl con 2 tapas - Colores Surtidos</t>
  </si>
  <si>
    <t>P38.008.98</t>
  </si>
  <si>
    <t>Moldes para Helado</t>
  </si>
  <si>
    <t>P38.009.02</t>
  </si>
  <si>
    <t>Vaso Mini Magic Cup Hormiga Azul</t>
  </si>
  <si>
    <t>P38.009.13</t>
  </si>
  <si>
    <t>Vaso Mini Magic Cup Roller Rojo</t>
  </si>
  <si>
    <t>P38.009.17</t>
  </si>
  <si>
    <t>Vaso Mini Magic Cup Ratón Verde</t>
  </si>
  <si>
    <t>P38.010.02</t>
  </si>
  <si>
    <t>Vaso Trainer Cup Cebra Azul</t>
  </si>
  <si>
    <t>P38.010.14</t>
  </si>
  <si>
    <t>Vaso Trainer Cup Pingüino Rosa</t>
  </si>
  <si>
    <t>P38.011.02</t>
  </si>
  <si>
    <t>Vaso Magic Cup León Azul</t>
  </si>
  <si>
    <t>P38.011.13</t>
  </si>
  <si>
    <t>Vaso Magic Cup Cangrejo Rojo</t>
  </si>
  <si>
    <t>P38.011.17</t>
  </si>
  <si>
    <t>Vaso Magic Cup Gato Verde</t>
  </si>
  <si>
    <t>P38.012.16</t>
  </si>
  <si>
    <t>Vaso Action Cup Pez Violeta</t>
  </si>
  <si>
    <t>P38.012.17</t>
  </si>
  <si>
    <t>Vaso Action Cup Leopardo Verde</t>
  </si>
  <si>
    <t>P38.013.16</t>
  </si>
  <si>
    <t>Vaso Aprendizaje 150 ml Control de Temperatura Rojo</t>
  </si>
  <si>
    <t>P38.013.17</t>
  </si>
  <si>
    <t>Vaso Aprendizaje 150 ml Control de Tempertatura Verde</t>
  </si>
  <si>
    <t>P38.015.02</t>
  </si>
  <si>
    <t>Vaso Kiddy Cup 300 ml Luminoso Azul</t>
  </si>
  <si>
    <t>P38.015.14</t>
  </si>
  <si>
    <t>Vaso Kiddy Cup 300 ml Luminoso Rosa</t>
  </si>
  <si>
    <t>P38.016.07</t>
  </si>
  <si>
    <t>Mamadera FC+ 300 ml Anticólicos Profesional con Control Temp</t>
  </si>
  <si>
    <t>P38.017.07</t>
  </si>
  <si>
    <t>Vaso Flexi Cup 300 ml Efecto Camaleón - Cebra Celeste</t>
  </si>
  <si>
    <t>P38.017.14</t>
  </si>
  <si>
    <t>Vaso Flexi Cup 300 ml Efecto Camaleón - Camaleón Rosa</t>
  </si>
  <si>
    <t>P38.018.02</t>
  </si>
  <si>
    <t>Vaso Junior Cup 300 ml Efecto Camaleón - Pez Azul</t>
  </si>
  <si>
    <t>P38.018.07</t>
  </si>
  <si>
    <t>Vaso Junior Cup 300 ml Efecto Camaleón - Pulpo Rosa</t>
  </si>
  <si>
    <t>P38.019.14</t>
  </si>
  <si>
    <t>Vaso Active Cup 300 ml - Rosa</t>
  </si>
  <si>
    <t>P38.019.17</t>
  </si>
  <si>
    <t>Vaso Active Cup 300 ml - Verde</t>
  </si>
  <si>
    <t>P38.020.15</t>
  </si>
  <si>
    <t>Repuesto Pico Silicona para Vaso Aprendizaje y Active Cup</t>
  </si>
  <si>
    <t>P38.021.01</t>
  </si>
  <si>
    <t>Cubetera para Alimentos</t>
  </si>
  <si>
    <t>P39.001.07</t>
  </si>
  <si>
    <t>Set de 2 Chup. Star Día &amp; Noche 0-6 meses Koala Celeste</t>
  </si>
  <si>
    <t>P39.001.14</t>
  </si>
  <si>
    <t>Set de 2 Chup. Star Día &amp; Noche 0-6 meses Gato Rosa</t>
  </si>
  <si>
    <t>P39.002.07</t>
  </si>
  <si>
    <t>Set de 2 Chup. Star Día &amp; Noche 6-18 meses Cocodrilo Verde</t>
  </si>
  <si>
    <t>P39.002.14</t>
  </si>
  <si>
    <t>Set de 2 Chup. Star Día &amp; Noche 6-18 meses Koala Rosa</t>
  </si>
  <si>
    <t>P39.003.07</t>
  </si>
  <si>
    <t>Set de 2 Chup. Signature 0-6 meses Celeste</t>
  </si>
  <si>
    <t>P39.003.14</t>
  </si>
  <si>
    <t>Set de 2 Chup. Signature 0-6 meses Rosa</t>
  </si>
  <si>
    <t>P39.004.02</t>
  </si>
  <si>
    <t>Set de 2 Chup. Signature 6-18 meses Azul</t>
  </si>
  <si>
    <t>P39.004.14</t>
  </si>
  <si>
    <t>Set de 2 Chup. Signature 6-18 meses Fucsia</t>
  </si>
  <si>
    <t>P39.005.02</t>
  </si>
  <si>
    <t>Set de 2 Chup. Signature 18-36 meses Azul</t>
  </si>
  <si>
    <t>P39.005.14</t>
  </si>
  <si>
    <t>Set de 2 Chup. Signature 18-36 meses Fucsia</t>
  </si>
  <si>
    <t>P39.006.02</t>
  </si>
  <si>
    <t>Set de 2 Chup. Sensitive 0-6 meses Azul-Verde</t>
  </si>
  <si>
    <t>P39.006.14</t>
  </si>
  <si>
    <t>Set de 2 Chup. Sensitive 0-6 meses Rosa-Violeta</t>
  </si>
  <si>
    <t>P39.007.05</t>
  </si>
  <si>
    <t>Set de 2 Chup. Space T 1 Erizo/Gato</t>
  </si>
  <si>
    <t>P39.008.14</t>
  </si>
  <si>
    <t>Set de 2 Chup. Space T 2 Gato/Pingüino</t>
  </si>
  <si>
    <t>P39.009.14</t>
  </si>
  <si>
    <t>Set de 2 Chup. Space T 3 Gato/Pingüino</t>
  </si>
  <si>
    <t>P39.010.02</t>
  </si>
  <si>
    <t>Set de 2 Chup. Space Luminoso 0-6 meses Azul/Blanco</t>
  </si>
  <si>
    <t>P39.010.16</t>
  </si>
  <si>
    <t>Set de 2 Chup. Space Luminoso 0-6 meses Violeta/Blanco</t>
  </si>
  <si>
    <t>P39.011.02</t>
  </si>
  <si>
    <t>Set de 2 Chup. Space Luminoso 6-18 meses Azul/Blanco</t>
  </si>
  <si>
    <t>P39.011.16</t>
  </si>
  <si>
    <t>Set de 2 Chup. Space Luminoso 6-18 meses Violeta/Blanco</t>
  </si>
  <si>
    <t>P39.012.98</t>
  </si>
  <si>
    <t>Chupete Signature 0-6 meses Diseños Surtidos</t>
  </si>
  <si>
    <t>P39.013.98</t>
  </si>
  <si>
    <t>Chupete Signature 6-18 meses Diseños Surtidos</t>
  </si>
  <si>
    <t>P39.014.98</t>
  </si>
  <si>
    <t>Chupete Signature 18-36 meses Diseños Surtidos</t>
  </si>
  <si>
    <t>P39.015.17</t>
  </si>
  <si>
    <t>Set de Cepillos de Entrenamiento</t>
  </si>
  <si>
    <t>P39.016.17</t>
  </si>
  <si>
    <t>Cepillo Dental de Inicio</t>
  </si>
  <si>
    <t>P39.017.17</t>
  </si>
  <si>
    <t>Mordillo Extra Refrigerante Pez</t>
  </si>
  <si>
    <t>P39.018.05</t>
  </si>
  <si>
    <t>Esterilizador Electrico Vario Express</t>
  </si>
  <si>
    <t>P39.019.05</t>
  </si>
  <si>
    <t>Calentador de Mamaderas Thermo Express</t>
  </si>
  <si>
    <t>P39.020.05</t>
  </si>
  <si>
    <t>Esterilizador de Microondas Express Plus</t>
  </si>
  <si>
    <t>P39.022.05</t>
  </si>
  <si>
    <t>Alicate corta uñas</t>
  </si>
  <si>
    <t>P39.023.98</t>
  </si>
  <si>
    <t>Tijera para bebés - Colores Surtidos</t>
  </si>
  <si>
    <t>P39.024.98</t>
  </si>
  <si>
    <t>Termómetro para baño - Colores surtidos</t>
  </si>
  <si>
    <t>P39.025.98</t>
  </si>
  <si>
    <t>Set de Cepillo y Peine - Colores surtidos</t>
  </si>
  <si>
    <t>P39.026.05</t>
  </si>
  <si>
    <t>Descongestionador Nasal</t>
  </si>
  <si>
    <t>P39.027.08</t>
  </si>
  <si>
    <t>Set de Bienvenida</t>
  </si>
  <si>
    <t>P39.028.15</t>
  </si>
  <si>
    <t>Pezoneras de Silicona Medium</t>
  </si>
  <si>
    <t>P39.029.15</t>
  </si>
  <si>
    <t>Pezoneras de Silicona Large</t>
  </si>
  <si>
    <t>P39.030.15</t>
  </si>
  <si>
    <t>Casquillos Aireadores y Recolectores</t>
  </si>
  <si>
    <t>P39.032.05</t>
  </si>
  <si>
    <t>Sacaleches Manual Jolie</t>
  </si>
  <si>
    <t>P39.033.05</t>
  </si>
  <si>
    <t>Sacaleche Electrico First Choice+</t>
  </si>
  <si>
    <t>P39.034.15</t>
  </si>
  <si>
    <t>Tetina NUK for Nature Flujo S (Leche Materna)</t>
  </si>
  <si>
    <t>P39.035.15</t>
  </si>
  <si>
    <t>Tetina NUK for Nature Flujo M (Leche)</t>
  </si>
  <si>
    <t>P39.036.15</t>
  </si>
  <si>
    <t>Tetinas FC+ 0-6 meses Flujo S (Leche Materna)</t>
  </si>
  <si>
    <t>P39.037.15</t>
  </si>
  <si>
    <t>Tetinas FC+ 0-6 meses Flujo M (Leche)</t>
  </si>
  <si>
    <t>P39.038.15</t>
  </si>
  <si>
    <t>Tetinas FC+ 6-18 meses Flujo M (Leche)</t>
  </si>
  <si>
    <t>P39.039.15</t>
  </si>
  <si>
    <t>Tetinas FC+ 6-18 meses Control de Flujo</t>
  </si>
  <si>
    <t>P39.040.13</t>
  </si>
  <si>
    <t>Set Vasos Evolution Cup Violeta / Rojo</t>
  </si>
  <si>
    <t>P39.040.17</t>
  </si>
  <si>
    <t>Set Vasos Evolution Cup Verde / Azul</t>
  </si>
  <si>
    <t>P39.042.05</t>
  </si>
  <si>
    <t>Repuesto Disco de Silicona Blanco para Magic Cup</t>
  </si>
  <si>
    <t>P39.043.15</t>
  </si>
  <si>
    <t>Repuesto Sorbete para Action Cup x 2 unids</t>
  </si>
  <si>
    <t>P39.044.05</t>
  </si>
  <si>
    <t>Repuesto Pico Rígido para Kiddy Cup</t>
  </si>
  <si>
    <t>P39.045.15</t>
  </si>
  <si>
    <t>Repuesto Sorbete para Flexi Cup x 2unids</t>
  </si>
  <si>
    <t>P39.046.15</t>
  </si>
  <si>
    <t>Repuesto pico Junior Cup</t>
  </si>
  <si>
    <t>P39.047.07</t>
  </si>
  <si>
    <t>NUK Set de 2 Chupetes Star 0-2 meses Celeste</t>
  </si>
  <si>
    <t>P39.047.14</t>
  </si>
  <si>
    <t>NUK Set de 2 Chupetes Star 0-2 meses Rosa</t>
  </si>
  <si>
    <t>P39.055.15</t>
  </si>
  <si>
    <t>Mamadera NUK FOR NATURE 150 ml con Control de Temparatura</t>
  </si>
  <si>
    <t>P39.056.15</t>
  </si>
  <si>
    <t>Mamadera NUK FOR NATURE 260 ml con Control de Temperatura</t>
  </si>
  <si>
    <t>P39.057.18</t>
  </si>
  <si>
    <t>Cepillo Limpia Mamaderas Twist - Verde Menta</t>
  </si>
  <si>
    <t>P39.058.07</t>
  </si>
  <si>
    <t>Set de 2 Chup. Space 0-6 meses Zorro/Arco Iris</t>
  </si>
  <si>
    <t>P39.058.08</t>
  </si>
  <si>
    <t>Set de 2 Chup. Space 0-6 meses Rana/Arco Iris</t>
  </si>
  <si>
    <t>P39.059.01</t>
  </si>
  <si>
    <t>Set de 2 Chup. Space 6-18 meses León/Sol</t>
  </si>
  <si>
    <t>P39.059.09</t>
  </si>
  <si>
    <t>Set de 2 Chup. Space 6-18 meses Cebra/Sol</t>
  </si>
  <si>
    <t>P39.060.01</t>
  </si>
  <si>
    <t>Set de 2 Chup. Space 18-36 meses León/Sol</t>
  </si>
  <si>
    <t>P39.060.09</t>
  </si>
  <si>
    <t>Set de 2 Chup. Space 18-36 meses Cebra/Sol</t>
  </si>
  <si>
    <t>P01.041.02</t>
  </si>
  <si>
    <t>CON FIT SQZ 24OZ 710ML AMP</t>
  </si>
  <si>
    <t>P01.030.07</t>
  </si>
  <si>
    <t>CONTIGO JACKSON 710ML GREYED JADE</t>
  </si>
  <si>
    <t>P01.030.08</t>
  </si>
  <si>
    <t>CONTIGO JACKSON 710ML SMOKE</t>
  </si>
  <si>
    <t>P01.032.03</t>
  </si>
  <si>
    <t>CONTIGO MATTERHORN 591 ML MONAC BLUE</t>
  </si>
  <si>
    <t>P01.032.16</t>
  </si>
  <si>
    <t>Contigo MATTERHORN Orquidea 591ml</t>
  </si>
  <si>
    <t>P01.032.19</t>
  </si>
  <si>
    <t>CONTIGO MATTERHORN  591ML MERLOT</t>
  </si>
  <si>
    <t>P01.032.20</t>
  </si>
  <si>
    <t>CONTIGO MATTERHORN  591ML CHARDON</t>
  </si>
  <si>
    <t>P01.032.71</t>
  </si>
  <si>
    <t>Contigo MATTERHORN Monaco 591ml</t>
  </si>
  <si>
    <t>P01.032.81</t>
  </si>
  <si>
    <t>Contigo MATTERHORN Negro 591ml</t>
  </si>
  <si>
    <t>P01.033.40</t>
  </si>
  <si>
    <t>CONTIGO MATTERHORN COUTURE 591 ML SNAKESKIN</t>
  </si>
  <si>
    <t>P01.033.51</t>
  </si>
  <si>
    <t>CONTIGO MATTERHORN COUTURE 591 ML SPECKED SLATE</t>
  </si>
  <si>
    <t>P01.033.54</t>
  </si>
  <si>
    <t>CONTIGO MATTERHORN COUTURE 591 ML ROSE QUARTZ</t>
  </si>
  <si>
    <t>P01.033.70</t>
  </si>
  <si>
    <t>CONTIGO MATTERHORN  591ML CARBON</t>
  </si>
  <si>
    <t>P01.033.72</t>
  </si>
  <si>
    <t>CONTIGO MATTERHORN COUTURE 591 ML RUSTIC GOLD</t>
  </si>
  <si>
    <t>P01.033.79</t>
  </si>
  <si>
    <t>CONTIGO MATTERHORN COUTURE 591 ML MERLOT AIRBRUSH</t>
  </si>
  <si>
    <t>P01.033.84</t>
  </si>
  <si>
    <t>CONTIGO MATTERHORN COUTURE 591 ML TEXTURED CAMMO</t>
  </si>
  <si>
    <t>P01.036.03</t>
  </si>
  <si>
    <t>CONTIGO JACKSON 2.0 710ML BL CORN</t>
  </si>
  <si>
    <t>P01.036.12</t>
  </si>
  <si>
    <t>CONTIGO JACKSON 2.0 710ML SAKE</t>
  </si>
  <si>
    <t>P01.036.14</t>
  </si>
  <si>
    <t>CONTIGO JACKSON 2.0 710ML PNK LEM</t>
  </si>
  <si>
    <t>P01.036.17</t>
  </si>
  <si>
    <t>CONTIGO JACKSON 2.0 710ML BBL TEA</t>
  </si>
  <si>
    <t>P01.041.07</t>
  </si>
  <si>
    <t>CON FIT SQZ 24OZ 710ML SURGE</t>
  </si>
  <si>
    <t>P01.041.12</t>
  </si>
  <si>
    <t>CON FIT SQZ 24OZ 710ML LICORICE</t>
  </si>
  <si>
    <t>P01.041.16</t>
  </si>
  <si>
    <t>CON FIT SQZ 24OZ 710ML GRP</t>
  </si>
  <si>
    <t>P01.042.02</t>
  </si>
  <si>
    <t>CON FIT ASPT SQ 24OZ 710ML AMP</t>
  </si>
  <si>
    <t>P01.042.07</t>
  </si>
  <si>
    <t>CON FIT ASPT SQ 24OZ 710ML SURGE</t>
  </si>
  <si>
    <t>P01.042.12</t>
  </si>
  <si>
    <t>CON FIT ASPT SQ 24OZ 710ML LICORICE</t>
  </si>
  <si>
    <t>P01.042.16</t>
  </si>
  <si>
    <t>CON FIT ASPT SQ 24OZ 710ML GRP</t>
  </si>
  <si>
    <t>P03.030.03</t>
  </si>
  <si>
    <t>CONTIGO THERMAL BOTTLE 739 ML BLUE CORN</t>
  </si>
  <si>
    <t>P03.030.09</t>
  </si>
  <si>
    <t>CONTIGO THERMAL BOTTLE 739 ML SS</t>
  </si>
  <si>
    <t>P03.030.12</t>
  </si>
  <si>
    <t>CONTIGO THERMAL BOTTLE 739 ML BLACK</t>
  </si>
  <si>
    <t>P03.030.14</t>
  </si>
  <si>
    <t>CONTIGO THERMAL BOTTLE 739 ML DRAGON FRUIT</t>
  </si>
  <si>
    <t>P03.030.50</t>
  </si>
  <si>
    <t>CONTIGO THERMAL BOTTLE 739 ML SPECKED SL</t>
  </si>
  <si>
    <t>P03.030.83</t>
  </si>
  <si>
    <t>CONTIGO THERMAL BOTTLE 739 ML CARBON</t>
  </si>
  <si>
    <t>P03.030.92</t>
  </si>
  <si>
    <t>CONTIGO THERMAL BOTTLE 739 ML TEXTURED Camo</t>
  </si>
  <si>
    <t>P03.031.03</t>
  </si>
  <si>
    <t>CONTIGO THERMAL BOTTLE 1182ML BLUE CORN</t>
  </si>
  <si>
    <t>P03.031.09</t>
  </si>
  <si>
    <t>CONTIGO THERMAL BOTTLE 1182ML SS</t>
  </si>
  <si>
    <t>P03.031.12</t>
  </si>
  <si>
    <t>CONTIGO THERMAL BOTTLE 1182ML BLACK</t>
  </si>
  <si>
    <t>P03.031.14</t>
  </si>
  <si>
    <t>CONTIGO THERMAL BOTTLE 1182ML DRAGON FRUIT</t>
  </si>
  <si>
    <t>P03.031.50</t>
  </si>
  <si>
    <t>CONTIGO THERMAL BOTTLE 1182 ML SPECKED S</t>
  </si>
  <si>
    <t>P03.031.83</t>
  </si>
  <si>
    <t>CONTIGO THERMAL BOTTLE 1182 ML CARBON</t>
  </si>
  <si>
    <t>P03.031.92</t>
  </si>
  <si>
    <t>CONTIGO THERMAL BOTTLE 1182 ML TEXTURED</t>
  </si>
  <si>
    <t>P04.031.09</t>
  </si>
  <si>
    <t>Contigo WESTLOOP 473ml Gris Acero</t>
  </si>
  <si>
    <t>P04.031.12</t>
  </si>
  <si>
    <t>Contigo WESTLOOP 473ml Negro</t>
  </si>
  <si>
    <t>P04.031.16</t>
  </si>
  <si>
    <t>Contigo WESTLOOP 473ml Orquidea Radiante</t>
  </si>
  <si>
    <t>P04.033.02</t>
  </si>
  <si>
    <t>CONTIGO HURON 2.0 473ML JUNIPER</t>
  </si>
  <si>
    <t>P04.033.03</t>
  </si>
  <si>
    <t>CONTIGO HURON 2.0 473ML BLUE CORN</t>
  </si>
  <si>
    <t>P04.033.09</t>
  </si>
  <si>
    <t>CONTIGO HURON 2.0 473ML SAKE</t>
  </si>
  <si>
    <t>P04.033.12</t>
  </si>
  <si>
    <t>CONTIGO HURON 2.0 473ML LICORICE</t>
  </si>
  <si>
    <t>P04.033.14</t>
  </si>
  <si>
    <t>CONTIGO HURON 2.0 473ML DRAGON FRUIT</t>
  </si>
  <si>
    <t>P04.034.40</t>
  </si>
  <si>
    <t>CONTIGO HURON COUTURE 473ML SNAKESKIN</t>
  </si>
  <si>
    <t>P04.034.51</t>
  </si>
  <si>
    <t>CONTIGO HURON COUTURE 473ML SPECKLED SLATE</t>
  </si>
  <si>
    <t>P04.034.54</t>
  </si>
  <si>
    <t>CONTIGO HURON COUTURE 473ML ROSE QUARTZ</t>
  </si>
  <si>
    <t>P04.034.72</t>
  </si>
  <si>
    <t>CONTIGO HURON COUTURE 473ML RUSTIC GOLD</t>
  </si>
  <si>
    <t>P04.034.79</t>
  </si>
  <si>
    <t>CONTIGO HURON COUTURE 473ML MERLOT AIRBRUSH</t>
  </si>
  <si>
    <t>P04.034.84</t>
  </si>
  <si>
    <t>CONTIGO HURON COUTURE 473ML TEXTURED CAMO</t>
  </si>
  <si>
    <t>P04.035.02</t>
  </si>
  <si>
    <t>CONTIGO BYRON 2.0 473ML JUNIPER</t>
  </si>
  <si>
    <t>P04.035.03</t>
  </si>
  <si>
    <t>CONTIGO BYRON 2.0 473ML BLUE CORN</t>
  </si>
  <si>
    <t>P04.035.09</t>
  </si>
  <si>
    <t>CONTIGO BYRON 2.0 473ML SAKE</t>
  </si>
  <si>
    <t>P04.035.12</t>
  </si>
  <si>
    <t>CONTIGO BYRON 2.0 473ML LICORICE</t>
  </si>
  <si>
    <t>P04.035.14</t>
  </si>
  <si>
    <t>CONTIGO BYRON 2.0 473ML DRAGON FRUIT</t>
  </si>
  <si>
    <t>Descuento</t>
  </si>
  <si>
    <t>Ganancia</t>
  </si>
  <si>
    <t>0101.KIT.BALAY.DORADO</t>
  </si>
  <si>
    <t>KIT Balayage Magia Otowil Dorado (Color 9.3)</t>
  </si>
  <si>
    <t>0101.KIT.BALAY.FRIO</t>
  </si>
  <si>
    <t>KIT Balayage Magia Otowil Frío (Color 9.1)</t>
  </si>
  <si>
    <t>0101.KIT.MECHAS.CALIDO</t>
  </si>
  <si>
    <t>Kit Mechas Magia Cálido (Color 9)</t>
  </si>
  <si>
    <t>0101.KIT.MECHAS.DORADO</t>
  </si>
  <si>
    <t>Kit Mechas Magia Dorado (Color 9.3)</t>
  </si>
  <si>
    <t>0101.KIT.MECHAS.FRIO</t>
  </si>
  <si>
    <t>Kit Mechas Magia Frío (Color 9.1)</t>
  </si>
  <si>
    <t>0102.KIT.BAL.LILA</t>
  </si>
  <si>
    <t>KIT Balayage Cielo Color LILA</t>
  </si>
  <si>
    <t>0102.KIT.BAL.MAG</t>
  </si>
  <si>
    <t>KIT Balayage Cielo Color MAGENTA</t>
  </si>
  <si>
    <t>0102.KIT.BAL.MULTI</t>
  </si>
  <si>
    <t>KIT Balayage Cielo Color MULTICOLOR CORAL-TURQUESA</t>
  </si>
  <si>
    <t>0102.KIT.BAL.ROJO</t>
  </si>
  <si>
    <t>KIT Balayage Cielo Color ROJO</t>
  </si>
  <si>
    <t>0102.KIT.BAL.ROSA</t>
  </si>
  <si>
    <t>KIT Balayage Cielo Color ROSA ELÉCTRICO</t>
  </si>
  <si>
    <t>0102.KIT.BAL.VIOLETA</t>
  </si>
  <si>
    <t>KIT Balayage Cielo Color VIOLETA</t>
  </si>
  <si>
    <t>0102.KIT.DECO</t>
  </si>
  <si>
    <t>KIT DECOLORACIÓN - Cielo Color</t>
  </si>
  <si>
    <t>0102.KIT.UNDER.AZUL</t>
  </si>
  <si>
    <t>KIT Underlight Cielo Color AZUL</t>
  </si>
  <si>
    <t>0102.KIT.UNDER.CORAL</t>
  </si>
  <si>
    <t>KIT Underlight Cielo Color CORAL</t>
  </si>
  <si>
    <t>0102.KIT.UNDER.MAG</t>
  </si>
  <si>
    <t>KIT Underlight Cielo Color MAGENTA</t>
  </si>
  <si>
    <t>0102.KIT.UNDER.MULTI</t>
  </si>
  <si>
    <t>KIT Underlight Cielo Color MULTICOLOR AZUL-CELESTE</t>
  </si>
  <si>
    <t>0102.KIT.UNDER.ROJO</t>
  </si>
  <si>
    <t>KIT Underlight Cielo Color ROJO</t>
  </si>
  <si>
    <t>0102.KIT.UNDER.TURQ</t>
  </si>
  <si>
    <t>KIT Underlight Cielo Color TURQUESA</t>
  </si>
  <si>
    <t>0102.KIT.UNDER.VIOLETA</t>
  </si>
  <si>
    <t>KIT Underlight Cielo Color VIOLETA</t>
  </si>
  <si>
    <t>100907.Exhib.OTOFem</t>
  </si>
  <si>
    <t>Exhibidor OTOFem c/carga (3 Jabones, 8 Geles) NUEVO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</si>
</sst>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6" formatCode="\$#,##0.00_);[Red]\(\$#,##0.00\)"/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_-&quot;$&quot;\ * #,##0.00_-;\-&quot;$&quot;\ * #,##0.00_-;_-&quot;$&quot;\ * &quot;-&quot;??_-;_-@_-"/>
    <numFmt numFmtId="179" formatCode="0_ "/>
    <numFmt numFmtId="180" formatCode="&quot;$&quot;#,##0.00"/>
  </numFmts>
  <fonts count="3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8"/>
      <color theme="1"/>
      <name val="Roboto"/>
      <charset val="134"/>
    </font>
    <font>
      <sz val="8"/>
      <color rgb="FF000000"/>
      <name val="Arial"/>
      <charset val="134"/>
    </font>
    <font>
      <sz val="7"/>
      <color rgb="FF000000"/>
      <name val="Roboto"/>
      <charset val="134"/>
    </font>
    <font>
      <sz val="8"/>
      <color rgb="FF000000"/>
      <name val="Roboto"/>
      <charset val="134"/>
    </font>
    <font>
      <sz val="8"/>
      <color theme="1"/>
      <name val="Arial"/>
      <charset val="134"/>
    </font>
    <font>
      <sz val="7"/>
      <color theme="1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Helvetica"/>
      <charset val="134"/>
    </font>
    <font>
      <u/>
      <sz val="12"/>
      <color theme="10"/>
      <name val="Arial"/>
      <charset val="134"/>
    </font>
    <font>
      <sz val="10"/>
      <name val="Arial"/>
      <charset val="134"/>
    </font>
    <font>
      <sz val="11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 applyNumberFormat="0" applyFill="0" applyBorder="0" applyProtection="0">
      <alignment vertical="top" wrapText="1"/>
    </xf>
    <xf numFmtId="0" fontId="0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/>
    <xf numFmtId="178" fontId="0" fillId="0" borderId="0" applyFont="0" applyFill="0" applyBorder="0" applyAlignment="0" applyProtection="0"/>
    <xf numFmtId="0" fontId="32" fillId="0" borderId="0" applyBorder="0"/>
  </cellStyleXfs>
  <cellXfs count="51">
    <xf numFmtId="0" fontId="0" fillId="0" borderId="0" xfId="0"/>
    <xf numFmtId="0" fontId="0" fillId="0" borderId="0" xfId="0" applyFill="1" applyAlignment="1">
      <alignment vertical="center"/>
    </xf>
    <xf numFmtId="179" fontId="0" fillId="0" borderId="0" xfId="0" applyNumberFormat="1" applyFill="1" applyAlignment="1">
      <alignment vertical="center"/>
    </xf>
    <xf numFmtId="26" fontId="0" fillId="0" borderId="0" xfId="0" applyNumberFormat="1" applyFill="1" applyAlignment="1">
      <alignment vertical="center"/>
    </xf>
    <xf numFmtId="2" fontId="0" fillId="0" borderId="0" xfId="0" applyNumberFormat="1"/>
    <xf numFmtId="0" fontId="1" fillId="0" borderId="0" xfId="0" applyFont="1"/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center" wrapText="1"/>
    </xf>
    <xf numFmtId="0" fontId="2" fillId="0" borderId="0" xfId="0" applyFont="1" applyFill="1" applyAlignment="1">
      <alignment horizontal="center"/>
    </xf>
    <xf numFmtId="180" fontId="2" fillId="0" borderId="0" xfId="0" applyNumberFormat="1" applyFont="1" applyFill="1" applyAlignment="1">
      <alignment horizontal="center" wrapText="1"/>
    </xf>
    <xf numFmtId="0" fontId="3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1" fontId="4" fillId="2" borderId="0" xfId="0" applyNumberFormat="1" applyFont="1" applyFill="1" applyBorder="1" applyAlignment="1"/>
    <xf numFmtId="0" fontId="4" fillId="2" borderId="0" xfId="0" applyFont="1" applyFill="1" applyBorder="1" applyAlignment="1"/>
    <xf numFmtId="180" fontId="5" fillId="2" borderId="1" xfId="0" applyNumberFormat="1" applyFont="1" applyFill="1" applyBorder="1" applyAlignment="1"/>
    <xf numFmtId="0" fontId="5" fillId="0" borderId="2" xfId="0" applyNumberFormat="1" applyFont="1" applyFill="1" applyBorder="1" applyAlignment="1">
      <alignment horizontal="center"/>
    </xf>
    <xf numFmtId="1" fontId="6" fillId="0" borderId="2" xfId="0" applyNumberFormat="1" applyFont="1" applyFill="1" applyBorder="1" applyAlignment="1"/>
    <xf numFmtId="0" fontId="7" fillId="0" borderId="2" xfId="0" applyFont="1" applyFill="1" applyBorder="1" applyAlignment="1"/>
    <xf numFmtId="180" fontId="5" fillId="0" borderId="2" xfId="0" applyNumberFormat="1" applyFont="1" applyFill="1" applyBorder="1" applyAlignment="1"/>
    <xf numFmtId="0" fontId="7" fillId="2" borderId="1" xfId="0" applyNumberFormat="1" applyFont="1" applyFill="1" applyBorder="1" applyAlignment="1">
      <alignment horizontal="center"/>
    </xf>
    <xf numFmtId="1" fontId="6" fillId="2" borderId="1" xfId="0" applyNumberFormat="1" applyFont="1" applyFill="1" applyBorder="1" applyAlignment="1"/>
    <xf numFmtId="0" fontId="7" fillId="2" borderId="1" xfId="0" applyFont="1" applyFill="1" applyBorder="1" applyAlignment="1"/>
    <xf numFmtId="0" fontId="5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/>
    <xf numFmtId="0" fontId="7" fillId="0" borderId="1" xfId="0" applyFont="1" applyFill="1" applyBorder="1" applyAlignment="1"/>
    <xf numFmtId="180" fontId="7" fillId="0" borderId="2" xfId="0" applyNumberFormat="1" applyFont="1" applyFill="1" applyBorder="1" applyAlignment="1"/>
    <xf numFmtId="180" fontId="5" fillId="0" borderId="1" xfId="0" applyNumberFormat="1" applyFont="1" applyFill="1" applyBorder="1" applyAlignment="1"/>
    <xf numFmtId="0" fontId="5" fillId="2" borderId="1" xfId="0" applyNumberFormat="1" applyFont="1" applyFill="1" applyBorder="1" applyAlignment="1">
      <alignment horizontal="center"/>
    </xf>
    <xf numFmtId="180" fontId="7" fillId="2" borderId="1" xfId="0" applyNumberFormat="1" applyFont="1" applyFill="1" applyBorder="1" applyAlignment="1"/>
    <xf numFmtId="180" fontId="7" fillId="0" borderId="1" xfId="0" applyNumberFormat="1" applyFont="1" applyFill="1" applyBorder="1" applyAlignment="1"/>
    <xf numFmtId="0" fontId="7" fillId="2" borderId="3" xfId="0" applyFont="1" applyFill="1" applyBorder="1" applyAlignment="1"/>
    <xf numFmtId="0" fontId="8" fillId="2" borderId="1" xfId="0" applyNumberFormat="1" applyFont="1" applyFill="1" applyBorder="1" applyAlignment="1">
      <alignment horizontal="center"/>
    </xf>
    <xf numFmtId="1" fontId="9" fillId="2" borderId="1" xfId="0" applyNumberFormat="1" applyFont="1" applyFill="1" applyBorder="1" applyAlignment="1"/>
    <xf numFmtId="0" fontId="4" fillId="2" borderId="1" xfId="0" applyFont="1" applyFill="1" applyBorder="1" applyAlignment="1"/>
    <xf numFmtId="0" fontId="8" fillId="0" borderId="1" xfId="0" applyNumberFormat="1" applyFont="1" applyFill="1" applyBorder="1" applyAlignment="1">
      <alignment horizontal="center"/>
    </xf>
    <xf numFmtId="1" fontId="9" fillId="0" borderId="1" xfId="0" applyNumberFormat="1" applyFont="1" applyFill="1" applyBorder="1" applyAlignment="1"/>
    <xf numFmtId="0" fontId="4" fillId="0" borderId="1" xfId="0" applyFont="1" applyFill="1" applyBorder="1" applyAlignment="1"/>
    <xf numFmtId="0" fontId="7" fillId="0" borderId="1" xfId="0" applyNumberFormat="1" applyFont="1" applyFill="1" applyBorder="1" applyAlignment="1">
      <alignment horizontal="center"/>
    </xf>
    <xf numFmtId="0" fontId="7" fillId="0" borderId="3" xfId="0" applyFont="1" applyFill="1" applyBorder="1" applyAlignment="1"/>
    <xf numFmtId="1" fontId="6" fillId="2" borderId="3" xfId="0" applyNumberFormat="1" applyFont="1" applyFill="1" applyBorder="1" applyAlignment="1"/>
    <xf numFmtId="0" fontId="5" fillId="2" borderId="2" xfId="0" applyNumberFormat="1" applyFont="1" applyFill="1" applyBorder="1" applyAlignment="1">
      <alignment horizontal="center"/>
    </xf>
    <xf numFmtId="1" fontId="6" fillId="2" borderId="4" xfId="0" applyNumberFormat="1" applyFont="1" applyFill="1" applyBorder="1" applyAlignment="1"/>
    <xf numFmtId="0" fontId="7" fillId="2" borderId="4" xfId="0" applyFont="1" applyFill="1" applyBorder="1" applyAlignment="1"/>
    <xf numFmtId="0" fontId="7" fillId="0" borderId="2" xfId="0" applyNumberFormat="1" applyFont="1" applyFill="1" applyBorder="1" applyAlignment="1">
      <alignment horizontal="center"/>
    </xf>
    <xf numFmtId="1" fontId="6" fillId="0" borderId="4" xfId="0" applyNumberFormat="1" applyFont="1" applyFill="1" applyBorder="1" applyAlignment="1"/>
    <xf numFmtId="0" fontId="7" fillId="0" borderId="4" xfId="0" applyFont="1" applyFill="1" applyBorder="1" applyAlignment="1"/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  <cellStyle name="Normal 2 2" xfId="50"/>
    <cellStyle name="Hipervínculo 2" xfId="51"/>
    <cellStyle name="Normal 2" xfId="52"/>
    <cellStyle name="Moneda 2" xfId="53"/>
    <cellStyle name="Normal 4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6"/>
  <sheetViews>
    <sheetView tabSelected="1" workbookViewId="0">
      <selection activeCell="B1" sqref="B$1:B$1048576"/>
    </sheetView>
  </sheetViews>
  <sheetFormatPr defaultColWidth="137.861111111111" defaultRowHeight="14.4"/>
  <cols>
    <col min="1" max="1" width="14.712962962963" style="6" customWidth="1"/>
    <col min="2" max="2" width="14" customWidth="1"/>
    <col min="3" max="3" width="44.6666666666667" customWidth="1"/>
    <col min="4" max="4" width="6.28703703703704" customWidth="1"/>
    <col min="5" max="5" width="4.13888888888889" customWidth="1"/>
    <col min="6" max="6" width="10.287037037037" customWidth="1"/>
    <col min="7" max="7" width="12" customWidth="1"/>
    <col min="8" max="9" width="10.1111111111111" style="4" customWidth="1"/>
    <col min="10" max="10" width="5.71296296296296" customWidth="1"/>
    <col min="11" max="11" width="12.287037037037" customWidth="1"/>
  </cols>
  <sheetData>
    <row r="1" s="5" customFormat="1" spans="1:11">
      <c r="A1" s="7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8" t="s">
        <v>11</v>
      </c>
      <c r="B2" s="9">
        <v>4008600400028</v>
      </c>
      <c r="C2" s="10" t="s">
        <v>12</v>
      </c>
      <c r="D2">
        <v>7</v>
      </c>
      <c r="E2">
        <v>1</v>
      </c>
      <c r="F2">
        <v>20</v>
      </c>
      <c r="G2" s="11">
        <v>8914.69</v>
      </c>
      <c r="H2" s="4">
        <f>G2*0.88</f>
        <v>7844.9272</v>
      </c>
      <c r="I2" s="4">
        <f>G2*1.1</f>
        <v>9806.159</v>
      </c>
      <c r="J2">
        <v>0</v>
      </c>
      <c r="K2">
        <v>5</v>
      </c>
    </row>
    <row r="3" spans="1:11">
      <c r="A3" s="8" t="s">
        <v>13</v>
      </c>
      <c r="B3" s="9">
        <v>4008600400035</v>
      </c>
      <c r="C3" s="10" t="s">
        <v>14</v>
      </c>
      <c r="D3">
        <v>7</v>
      </c>
      <c r="E3">
        <v>1</v>
      </c>
      <c r="F3">
        <v>20</v>
      </c>
      <c r="G3" s="11">
        <v>8914.69</v>
      </c>
      <c r="H3" s="4">
        <f t="shared" ref="H3:H34" si="0">G3*0.88</f>
        <v>7844.9272</v>
      </c>
      <c r="I3" s="4">
        <f t="shared" ref="I3:I34" si="1">G3*1.1</f>
        <v>9806.159</v>
      </c>
      <c r="J3">
        <v>0</v>
      </c>
      <c r="K3">
        <v>5</v>
      </c>
    </row>
    <row r="4" spans="1:11">
      <c r="A4" s="8" t="s">
        <v>15</v>
      </c>
      <c r="B4" s="9">
        <v>4008600407508</v>
      </c>
      <c r="C4" s="10" t="s">
        <v>16</v>
      </c>
      <c r="D4">
        <v>7</v>
      </c>
      <c r="E4">
        <v>1</v>
      </c>
      <c r="F4">
        <v>20</v>
      </c>
      <c r="G4" s="11">
        <v>8176.288</v>
      </c>
      <c r="H4" s="4">
        <f t="shared" si="0"/>
        <v>7195.13344</v>
      </c>
      <c r="I4" s="4">
        <f t="shared" si="1"/>
        <v>8993.9168</v>
      </c>
      <c r="J4">
        <v>0</v>
      </c>
      <c r="K4">
        <v>5</v>
      </c>
    </row>
    <row r="5" spans="1:11">
      <c r="A5" s="8" t="s">
        <v>17</v>
      </c>
      <c r="B5" s="9">
        <v>4008600407492</v>
      </c>
      <c r="C5" s="10" t="s">
        <v>18</v>
      </c>
      <c r="D5">
        <v>7</v>
      </c>
      <c r="E5">
        <v>1</v>
      </c>
      <c r="F5">
        <v>20</v>
      </c>
      <c r="G5" s="11">
        <v>8176.288</v>
      </c>
      <c r="H5" s="4">
        <f t="shared" si="0"/>
        <v>7195.13344</v>
      </c>
      <c r="I5" s="4">
        <f t="shared" si="1"/>
        <v>8993.9168</v>
      </c>
      <c r="J5">
        <v>0</v>
      </c>
      <c r="K5">
        <v>5</v>
      </c>
    </row>
    <row r="6" spans="1:11">
      <c r="A6" s="8" t="s">
        <v>19</v>
      </c>
      <c r="B6" s="9">
        <v>4008600407423</v>
      </c>
      <c r="C6" s="10" t="s">
        <v>20</v>
      </c>
      <c r="D6">
        <v>7</v>
      </c>
      <c r="E6">
        <v>1</v>
      </c>
      <c r="F6">
        <v>20</v>
      </c>
      <c r="G6" s="11">
        <v>8176.288</v>
      </c>
      <c r="H6" s="4">
        <f t="shared" si="0"/>
        <v>7195.13344</v>
      </c>
      <c r="I6" s="4">
        <f t="shared" si="1"/>
        <v>8993.9168</v>
      </c>
      <c r="J6">
        <v>0</v>
      </c>
      <c r="K6">
        <v>5</v>
      </c>
    </row>
    <row r="7" spans="1:11">
      <c r="A7" s="8" t="s">
        <v>21</v>
      </c>
      <c r="B7" s="9">
        <v>4008600082538</v>
      </c>
      <c r="C7" s="10" t="s">
        <v>22</v>
      </c>
      <c r="D7">
        <v>7</v>
      </c>
      <c r="E7">
        <v>1</v>
      </c>
      <c r="F7">
        <v>20</v>
      </c>
      <c r="G7" s="11">
        <v>4483.754</v>
      </c>
      <c r="H7" s="4">
        <f t="shared" si="0"/>
        <v>3945.70352</v>
      </c>
      <c r="I7" s="4">
        <f t="shared" si="1"/>
        <v>4932.1294</v>
      </c>
      <c r="J7">
        <v>0</v>
      </c>
      <c r="K7">
        <v>5</v>
      </c>
    </row>
    <row r="8" spans="1:11">
      <c r="A8" s="8" t="s">
        <v>23</v>
      </c>
      <c r="B8" s="9">
        <v>4008600097518</v>
      </c>
      <c r="C8" s="10" t="s">
        <v>24</v>
      </c>
      <c r="D8">
        <v>7</v>
      </c>
      <c r="E8">
        <v>1</v>
      </c>
      <c r="F8">
        <v>20</v>
      </c>
      <c r="G8" s="11">
        <v>7352.321</v>
      </c>
      <c r="H8" s="4">
        <f t="shared" si="0"/>
        <v>6470.04248</v>
      </c>
      <c r="I8" s="4">
        <f t="shared" si="1"/>
        <v>8087.5531</v>
      </c>
      <c r="J8">
        <v>0</v>
      </c>
      <c r="K8">
        <v>5</v>
      </c>
    </row>
    <row r="9" spans="1:11">
      <c r="A9" s="8" t="s">
        <v>25</v>
      </c>
      <c r="B9" s="9">
        <v>4008600177876</v>
      </c>
      <c r="C9" s="10" t="s">
        <v>26</v>
      </c>
      <c r="D9">
        <v>7</v>
      </c>
      <c r="E9">
        <v>1</v>
      </c>
      <c r="F9">
        <v>20</v>
      </c>
      <c r="G9" s="11">
        <v>11053.835</v>
      </c>
      <c r="H9" s="4">
        <f t="shared" si="0"/>
        <v>9727.3748</v>
      </c>
      <c r="I9" s="4">
        <f t="shared" si="1"/>
        <v>12159.2185</v>
      </c>
      <c r="J9">
        <v>0</v>
      </c>
      <c r="K9">
        <v>5</v>
      </c>
    </row>
    <row r="10" spans="1:11">
      <c r="A10" s="8" t="s">
        <v>27</v>
      </c>
      <c r="B10" s="9">
        <v>4008600184850</v>
      </c>
      <c r="C10" s="10" t="s">
        <v>28</v>
      </c>
      <c r="D10">
        <v>7</v>
      </c>
      <c r="E10">
        <v>1</v>
      </c>
      <c r="F10">
        <v>20</v>
      </c>
      <c r="G10" s="11">
        <v>16239.545</v>
      </c>
      <c r="H10" s="4">
        <f t="shared" si="0"/>
        <v>14290.7996</v>
      </c>
      <c r="I10" s="4">
        <f t="shared" si="1"/>
        <v>17863.4995</v>
      </c>
      <c r="J10">
        <v>0</v>
      </c>
      <c r="K10">
        <v>5</v>
      </c>
    </row>
    <row r="11" spans="1:11">
      <c r="A11" s="8" t="s">
        <v>29</v>
      </c>
      <c r="B11" s="9">
        <v>4008600398479</v>
      </c>
      <c r="C11" s="10" t="s">
        <v>30</v>
      </c>
      <c r="D11">
        <v>7</v>
      </c>
      <c r="E11">
        <v>1</v>
      </c>
      <c r="F11">
        <v>20</v>
      </c>
      <c r="G11" s="11">
        <v>12390.669</v>
      </c>
      <c r="H11" s="4">
        <f t="shared" si="0"/>
        <v>10903.78872</v>
      </c>
      <c r="I11" s="4">
        <f t="shared" si="1"/>
        <v>13629.7359</v>
      </c>
      <c r="J11">
        <v>0</v>
      </c>
      <c r="K11">
        <v>5</v>
      </c>
    </row>
    <row r="12" spans="1:11">
      <c r="A12" s="8" t="s">
        <v>31</v>
      </c>
      <c r="B12" s="9">
        <v>4008600398455</v>
      </c>
      <c r="C12" s="10" t="s">
        <v>32</v>
      </c>
      <c r="D12">
        <v>7</v>
      </c>
      <c r="E12">
        <v>1</v>
      </c>
      <c r="F12">
        <v>20</v>
      </c>
      <c r="G12" s="11">
        <v>12390.669</v>
      </c>
      <c r="H12" s="4">
        <f t="shared" si="0"/>
        <v>10903.78872</v>
      </c>
      <c r="I12" s="4">
        <f t="shared" si="1"/>
        <v>13629.7359</v>
      </c>
      <c r="J12">
        <v>0</v>
      </c>
      <c r="K12">
        <v>5</v>
      </c>
    </row>
    <row r="13" spans="1:11">
      <c r="A13" s="8" t="s">
        <v>33</v>
      </c>
      <c r="B13" s="9">
        <v>4008600398493</v>
      </c>
      <c r="C13" s="10" t="s">
        <v>34</v>
      </c>
      <c r="D13">
        <v>7</v>
      </c>
      <c r="E13">
        <v>1</v>
      </c>
      <c r="F13">
        <v>20</v>
      </c>
      <c r="G13" s="11">
        <v>12390.669</v>
      </c>
      <c r="H13" s="4">
        <f t="shared" si="0"/>
        <v>10903.78872</v>
      </c>
      <c r="I13" s="4">
        <f t="shared" si="1"/>
        <v>13629.7359</v>
      </c>
      <c r="J13">
        <v>0</v>
      </c>
      <c r="K13">
        <v>5</v>
      </c>
    </row>
    <row r="14" spans="1:11">
      <c r="A14" s="8" t="s">
        <v>35</v>
      </c>
      <c r="B14" s="9">
        <v>4008600398325</v>
      </c>
      <c r="C14" s="10" t="s">
        <v>36</v>
      </c>
      <c r="D14">
        <v>7</v>
      </c>
      <c r="E14">
        <v>1</v>
      </c>
      <c r="F14">
        <v>20</v>
      </c>
      <c r="G14" s="11">
        <v>11476.91</v>
      </c>
      <c r="H14" s="4">
        <f t="shared" si="0"/>
        <v>10099.6808</v>
      </c>
      <c r="I14" s="4">
        <f t="shared" si="1"/>
        <v>12624.601</v>
      </c>
      <c r="J14">
        <v>0</v>
      </c>
      <c r="K14">
        <v>5</v>
      </c>
    </row>
    <row r="15" spans="1:11">
      <c r="A15" s="8" t="s">
        <v>37</v>
      </c>
      <c r="B15" s="9">
        <v>4008600398332</v>
      </c>
      <c r="C15" s="10" t="s">
        <v>38</v>
      </c>
      <c r="D15">
        <v>7</v>
      </c>
      <c r="E15">
        <v>1</v>
      </c>
      <c r="F15">
        <v>20</v>
      </c>
      <c r="G15" s="11">
        <v>11476.91</v>
      </c>
      <c r="H15" s="4">
        <f t="shared" si="0"/>
        <v>10099.6808</v>
      </c>
      <c r="I15" s="4">
        <f t="shared" si="1"/>
        <v>12624.601</v>
      </c>
      <c r="J15">
        <v>0</v>
      </c>
      <c r="K15">
        <v>5</v>
      </c>
    </row>
    <row r="16" spans="1:11">
      <c r="A16" s="8" t="s">
        <v>39</v>
      </c>
      <c r="B16" s="9">
        <v>4008600398356</v>
      </c>
      <c r="C16" s="10" t="s">
        <v>40</v>
      </c>
      <c r="D16">
        <v>7</v>
      </c>
      <c r="E16">
        <v>1</v>
      </c>
      <c r="F16">
        <v>20</v>
      </c>
      <c r="G16" s="11">
        <v>10989.925</v>
      </c>
      <c r="H16" s="4">
        <f t="shared" si="0"/>
        <v>9671.134</v>
      </c>
      <c r="I16" s="4">
        <f t="shared" si="1"/>
        <v>12088.9175</v>
      </c>
      <c r="J16">
        <v>0</v>
      </c>
      <c r="K16">
        <v>5</v>
      </c>
    </row>
    <row r="17" spans="1:11">
      <c r="A17" s="8" t="s">
        <v>41</v>
      </c>
      <c r="B17" s="9">
        <v>4008600398363</v>
      </c>
      <c r="C17" s="10" t="s">
        <v>42</v>
      </c>
      <c r="D17">
        <v>7</v>
      </c>
      <c r="E17">
        <v>1</v>
      </c>
      <c r="F17">
        <v>20</v>
      </c>
      <c r="G17" s="11">
        <v>10989.925</v>
      </c>
      <c r="H17" s="4">
        <f t="shared" si="0"/>
        <v>9671.134</v>
      </c>
      <c r="I17" s="4">
        <f t="shared" si="1"/>
        <v>12088.9175</v>
      </c>
      <c r="J17">
        <v>0</v>
      </c>
      <c r="K17">
        <v>5</v>
      </c>
    </row>
    <row r="18" spans="1:11">
      <c r="A18" s="8" t="s">
        <v>43</v>
      </c>
      <c r="B18" s="9">
        <v>4008600398318</v>
      </c>
      <c r="C18" s="10" t="s">
        <v>44</v>
      </c>
      <c r="D18">
        <v>7</v>
      </c>
      <c r="E18">
        <v>1</v>
      </c>
      <c r="F18">
        <v>20</v>
      </c>
      <c r="G18" s="11">
        <v>10989.925</v>
      </c>
      <c r="H18" s="4">
        <f t="shared" si="0"/>
        <v>9671.134</v>
      </c>
      <c r="I18" s="4">
        <f t="shared" si="1"/>
        <v>12088.9175</v>
      </c>
      <c r="J18">
        <v>0</v>
      </c>
      <c r="K18">
        <v>5</v>
      </c>
    </row>
    <row r="19" spans="1:11">
      <c r="A19" s="8" t="s">
        <v>45</v>
      </c>
      <c r="B19" s="9">
        <v>4008600398370</v>
      </c>
      <c r="C19" s="10" t="s">
        <v>46</v>
      </c>
      <c r="D19">
        <v>7</v>
      </c>
      <c r="E19">
        <v>1</v>
      </c>
      <c r="F19">
        <v>20</v>
      </c>
      <c r="G19" s="11">
        <v>11045.912</v>
      </c>
      <c r="H19" s="4">
        <f t="shared" si="0"/>
        <v>9720.40256</v>
      </c>
      <c r="I19" s="4">
        <f t="shared" si="1"/>
        <v>12150.5032</v>
      </c>
      <c r="J19">
        <v>0</v>
      </c>
      <c r="K19">
        <v>5</v>
      </c>
    </row>
    <row r="20" spans="1:11">
      <c r="A20" s="8" t="s">
        <v>47</v>
      </c>
      <c r="B20" s="9">
        <v>4008600398349</v>
      </c>
      <c r="C20" s="10" t="s">
        <v>48</v>
      </c>
      <c r="D20">
        <v>7</v>
      </c>
      <c r="E20">
        <v>1</v>
      </c>
      <c r="F20">
        <v>20</v>
      </c>
      <c r="G20" s="11">
        <v>11045.912</v>
      </c>
      <c r="H20" s="4">
        <f t="shared" si="0"/>
        <v>9720.40256</v>
      </c>
      <c r="I20" s="4">
        <f t="shared" si="1"/>
        <v>12150.5032</v>
      </c>
      <c r="J20">
        <v>0</v>
      </c>
      <c r="K20">
        <v>5</v>
      </c>
    </row>
    <row r="21" spans="1:11">
      <c r="A21" s="8" t="s">
        <v>49</v>
      </c>
      <c r="B21" s="9">
        <v>4008600388982</v>
      </c>
      <c r="C21" s="10" t="s">
        <v>50</v>
      </c>
      <c r="D21">
        <v>7</v>
      </c>
      <c r="E21">
        <v>1</v>
      </c>
      <c r="F21">
        <v>20</v>
      </c>
      <c r="G21" s="11">
        <v>9192.514</v>
      </c>
      <c r="H21" s="4">
        <f t="shared" si="0"/>
        <v>8089.41232</v>
      </c>
      <c r="I21" s="4">
        <f t="shared" si="1"/>
        <v>10111.7654</v>
      </c>
      <c r="J21">
        <v>0</v>
      </c>
      <c r="K21">
        <v>5</v>
      </c>
    </row>
    <row r="22" spans="1:11">
      <c r="A22" s="8" t="s">
        <v>51</v>
      </c>
      <c r="B22" s="9">
        <v>4008600388951</v>
      </c>
      <c r="C22" s="10" t="s">
        <v>52</v>
      </c>
      <c r="D22">
        <v>7</v>
      </c>
      <c r="E22">
        <v>1</v>
      </c>
      <c r="F22">
        <v>20</v>
      </c>
      <c r="G22" s="11">
        <v>9192.514</v>
      </c>
      <c r="H22" s="4">
        <f t="shared" si="0"/>
        <v>8089.41232</v>
      </c>
      <c r="I22" s="4">
        <f t="shared" si="1"/>
        <v>10111.7654</v>
      </c>
      <c r="J22">
        <v>0</v>
      </c>
      <c r="K22">
        <v>5</v>
      </c>
    </row>
    <row r="23" spans="1:11">
      <c r="A23" s="8" t="s">
        <v>53</v>
      </c>
      <c r="B23" s="9">
        <v>7794440994373</v>
      </c>
      <c r="C23" s="10" t="s">
        <v>54</v>
      </c>
      <c r="D23">
        <v>7</v>
      </c>
      <c r="E23">
        <v>1</v>
      </c>
      <c r="F23">
        <v>20</v>
      </c>
      <c r="G23" s="11">
        <v>11046.44</v>
      </c>
      <c r="H23" s="4">
        <f t="shared" si="0"/>
        <v>9720.8672</v>
      </c>
      <c r="I23" s="4">
        <f t="shared" si="1"/>
        <v>12151.084</v>
      </c>
      <c r="J23">
        <v>0</v>
      </c>
      <c r="K23">
        <v>5</v>
      </c>
    </row>
    <row r="24" spans="1:11">
      <c r="A24" s="8" t="s">
        <v>55</v>
      </c>
      <c r="B24" s="9">
        <v>7794440994366</v>
      </c>
      <c r="C24" s="10" t="s">
        <v>56</v>
      </c>
      <c r="D24">
        <v>7</v>
      </c>
      <c r="E24">
        <v>1</v>
      </c>
      <c r="F24">
        <v>20</v>
      </c>
      <c r="G24" s="11">
        <v>11046.44</v>
      </c>
      <c r="H24" s="4">
        <f t="shared" si="0"/>
        <v>9720.8672</v>
      </c>
      <c r="I24" s="4">
        <f t="shared" si="1"/>
        <v>12151.084</v>
      </c>
      <c r="J24">
        <v>0</v>
      </c>
      <c r="K24">
        <v>5</v>
      </c>
    </row>
    <row r="25" spans="1:11">
      <c r="A25" s="8" t="s">
        <v>57</v>
      </c>
      <c r="B25" s="9">
        <v>4008600407584</v>
      </c>
      <c r="C25" s="10" t="s">
        <v>58</v>
      </c>
      <c r="D25">
        <v>7</v>
      </c>
      <c r="E25">
        <v>1</v>
      </c>
      <c r="F25">
        <v>20</v>
      </c>
      <c r="G25" s="11">
        <v>10459.628</v>
      </c>
      <c r="H25" s="4">
        <f t="shared" si="0"/>
        <v>9204.47264</v>
      </c>
      <c r="I25" s="4">
        <f t="shared" si="1"/>
        <v>11505.5908</v>
      </c>
      <c r="J25">
        <v>0</v>
      </c>
      <c r="K25">
        <v>5</v>
      </c>
    </row>
    <row r="26" spans="1:11">
      <c r="A26" s="8" t="s">
        <v>59</v>
      </c>
      <c r="B26" s="9">
        <v>7794440994458</v>
      </c>
      <c r="C26" s="10" t="s">
        <v>60</v>
      </c>
      <c r="D26">
        <v>7</v>
      </c>
      <c r="E26">
        <v>1</v>
      </c>
      <c r="F26">
        <v>20</v>
      </c>
      <c r="G26" s="11">
        <v>11046.44</v>
      </c>
      <c r="H26" s="4">
        <f t="shared" si="0"/>
        <v>9720.8672</v>
      </c>
      <c r="I26" s="4">
        <f t="shared" si="1"/>
        <v>12151.084</v>
      </c>
      <c r="J26">
        <v>0</v>
      </c>
      <c r="K26">
        <v>5</v>
      </c>
    </row>
    <row r="27" spans="1:11">
      <c r="A27" s="8" t="s">
        <v>61</v>
      </c>
      <c r="B27" s="9">
        <v>7794440994441</v>
      </c>
      <c r="C27" s="10" t="s">
        <v>62</v>
      </c>
      <c r="D27">
        <v>7</v>
      </c>
      <c r="E27">
        <v>1</v>
      </c>
      <c r="F27">
        <v>20</v>
      </c>
      <c r="G27" s="11">
        <v>11046.44</v>
      </c>
      <c r="H27" s="4">
        <f t="shared" si="0"/>
        <v>9720.8672</v>
      </c>
      <c r="I27" s="4">
        <f t="shared" si="1"/>
        <v>12151.084</v>
      </c>
      <c r="J27">
        <v>0</v>
      </c>
      <c r="K27">
        <v>5</v>
      </c>
    </row>
    <row r="28" spans="1:11">
      <c r="A28" s="8" t="s">
        <v>63</v>
      </c>
      <c r="B28" s="9">
        <v>7794440994434</v>
      </c>
      <c r="C28" s="10" t="s">
        <v>64</v>
      </c>
      <c r="D28">
        <v>7</v>
      </c>
      <c r="E28">
        <v>1</v>
      </c>
      <c r="F28">
        <v>20</v>
      </c>
      <c r="G28" s="11">
        <v>11046.44</v>
      </c>
      <c r="H28" s="4">
        <f t="shared" si="0"/>
        <v>9720.8672</v>
      </c>
      <c r="I28" s="4">
        <f t="shared" si="1"/>
        <v>12151.084</v>
      </c>
      <c r="J28">
        <v>0</v>
      </c>
      <c r="K28">
        <v>5</v>
      </c>
    </row>
    <row r="29" spans="1:11">
      <c r="A29" s="8" t="s">
        <v>65</v>
      </c>
      <c r="B29" s="9">
        <v>7794440994427</v>
      </c>
      <c r="C29" s="10" t="s">
        <v>66</v>
      </c>
      <c r="D29">
        <v>7</v>
      </c>
      <c r="E29">
        <v>1</v>
      </c>
      <c r="F29">
        <v>20</v>
      </c>
      <c r="G29" s="11">
        <v>11046.44</v>
      </c>
      <c r="H29" s="4">
        <f t="shared" si="0"/>
        <v>9720.8672</v>
      </c>
      <c r="I29" s="4">
        <f t="shared" si="1"/>
        <v>12151.084</v>
      </c>
      <c r="J29">
        <v>0</v>
      </c>
      <c r="K29">
        <v>5</v>
      </c>
    </row>
    <row r="30" spans="1:11">
      <c r="A30" s="8" t="s">
        <v>67</v>
      </c>
      <c r="B30" s="9">
        <v>7794440004058</v>
      </c>
      <c r="C30" s="10" t="s">
        <v>68</v>
      </c>
      <c r="D30">
        <v>7</v>
      </c>
      <c r="E30">
        <v>1</v>
      </c>
      <c r="F30">
        <v>20</v>
      </c>
      <c r="G30" s="11">
        <v>8799.017</v>
      </c>
      <c r="H30" s="4">
        <f t="shared" si="0"/>
        <v>7743.13496</v>
      </c>
      <c r="I30" s="4">
        <f t="shared" si="1"/>
        <v>9678.9187</v>
      </c>
      <c r="J30">
        <v>0</v>
      </c>
      <c r="K30">
        <v>5</v>
      </c>
    </row>
    <row r="31" spans="1:11">
      <c r="A31" s="8" t="s">
        <v>69</v>
      </c>
      <c r="B31" s="9">
        <v>7794440504060</v>
      </c>
      <c r="C31" s="10" t="s">
        <v>70</v>
      </c>
      <c r="D31">
        <v>7</v>
      </c>
      <c r="E31">
        <v>1</v>
      </c>
      <c r="F31">
        <v>20</v>
      </c>
      <c r="G31" s="11">
        <v>8799.017</v>
      </c>
      <c r="H31" s="4">
        <f t="shared" si="0"/>
        <v>7743.13496</v>
      </c>
      <c r="I31" s="4">
        <f t="shared" si="1"/>
        <v>9678.9187</v>
      </c>
      <c r="J31">
        <v>0</v>
      </c>
      <c r="K31">
        <v>5</v>
      </c>
    </row>
    <row r="32" spans="1:11">
      <c r="A32" s="8" t="s">
        <v>71</v>
      </c>
      <c r="B32" s="9">
        <v>4008600115915</v>
      </c>
      <c r="C32" s="10" t="s">
        <v>72</v>
      </c>
      <c r="D32">
        <v>7</v>
      </c>
      <c r="E32">
        <v>1</v>
      </c>
      <c r="F32">
        <v>20</v>
      </c>
      <c r="G32" s="11">
        <v>3262.064</v>
      </c>
      <c r="H32" s="4">
        <f t="shared" si="0"/>
        <v>2870.61632</v>
      </c>
      <c r="I32" s="4">
        <f t="shared" si="1"/>
        <v>3588.2704</v>
      </c>
      <c r="J32">
        <v>0</v>
      </c>
      <c r="K32">
        <v>5</v>
      </c>
    </row>
    <row r="33" spans="1:11">
      <c r="A33" s="8" t="s">
        <v>73</v>
      </c>
      <c r="B33" s="9">
        <v>4008600211914</v>
      </c>
      <c r="C33" s="10" t="s">
        <v>74</v>
      </c>
      <c r="D33">
        <v>7</v>
      </c>
      <c r="E33">
        <v>1</v>
      </c>
      <c r="F33">
        <v>20</v>
      </c>
      <c r="G33" s="11">
        <v>16680.579</v>
      </c>
      <c r="H33" s="4">
        <f t="shared" si="0"/>
        <v>14678.90952</v>
      </c>
      <c r="I33" s="4">
        <f t="shared" si="1"/>
        <v>18348.6369</v>
      </c>
      <c r="J33">
        <v>0</v>
      </c>
      <c r="K33">
        <v>5</v>
      </c>
    </row>
    <row r="34" spans="1:11">
      <c r="A34" s="8" t="s">
        <v>75</v>
      </c>
      <c r="B34" s="9">
        <v>4008600411079</v>
      </c>
      <c r="C34" s="10" t="s">
        <v>76</v>
      </c>
      <c r="D34">
        <v>7</v>
      </c>
      <c r="E34">
        <v>1</v>
      </c>
      <c r="F34">
        <v>20</v>
      </c>
      <c r="G34" s="11">
        <v>6209.859</v>
      </c>
      <c r="H34" s="4">
        <f t="shared" si="0"/>
        <v>5464.67592</v>
      </c>
      <c r="I34" s="4">
        <f t="shared" si="1"/>
        <v>6830.8449</v>
      </c>
      <c r="J34">
        <v>0</v>
      </c>
      <c r="K34">
        <v>5</v>
      </c>
    </row>
    <row r="35" spans="1:11">
      <c r="A35" s="8" t="s">
        <v>77</v>
      </c>
      <c r="B35" s="9">
        <v>4008600411086</v>
      </c>
      <c r="C35" s="10" t="s">
        <v>78</v>
      </c>
      <c r="D35">
        <v>7</v>
      </c>
      <c r="E35">
        <v>1</v>
      </c>
      <c r="F35">
        <v>20</v>
      </c>
      <c r="G35" s="11">
        <v>6209.859</v>
      </c>
      <c r="H35" s="4">
        <f t="shared" ref="H35:H66" si="2">G35*0.88</f>
        <v>5464.67592</v>
      </c>
      <c r="I35" s="4">
        <f t="shared" ref="I35:I66" si="3">G35*1.1</f>
        <v>6830.8449</v>
      </c>
      <c r="J35">
        <v>0</v>
      </c>
      <c r="K35">
        <v>5</v>
      </c>
    </row>
    <row r="36" spans="1:11">
      <c r="A36" s="8" t="s">
        <v>79</v>
      </c>
      <c r="B36" s="9">
        <v>4008600411024</v>
      </c>
      <c r="C36" s="10" t="s">
        <v>80</v>
      </c>
      <c r="D36">
        <v>7</v>
      </c>
      <c r="E36">
        <v>1</v>
      </c>
      <c r="F36">
        <v>20</v>
      </c>
      <c r="G36" s="11">
        <v>6209.859</v>
      </c>
      <c r="H36" s="4">
        <f t="shared" si="2"/>
        <v>5464.67592</v>
      </c>
      <c r="I36" s="4">
        <f t="shared" si="3"/>
        <v>6830.8449</v>
      </c>
      <c r="J36">
        <v>0</v>
      </c>
      <c r="K36">
        <v>5</v>
      </c>
    </row>
    <row r="37" spans="1:11">
      <c r="A37" s="8" t="s">
        <v>81</v>
      </c>
      <c r="B37" s="9">
        <v>4008600411031</v>
      </c>
      <c r="C37" s="10" t="s">
        <v>82</v>
      </c>
      <c r="D37">
        <v>7</v>
      </c>
      <c r="E37">
        <v>1</v>
      </c>
      <c r="F37">
        <v>20</v>
      </c>
      <c r="G37" s="11">
        <v>6209.859</v>
      </c>
      <c r="H37" s="4">
        <f t="shared" si="2"/>
        <v>5464.67592</v>
      </c>
      <c r="I37" s="4">
        <f t="shared" si="3"/>
        <v>6830.8449</v>
      </c>
      <c r="J37">
        <v>0</v>
      </c>
      <c r="K37">
        <v>5</v>
      </c>
    </row>
    <row r="38" spans="1:11">
      <c r="A38" s="8" t="s">
        <v>83</v>
      </c>
      <c r="B38" s="9">
        <v>4008600381754</v>
      </c>
      <c r="C38" s="10" t="s">
        <v>84</v>
      </c>
      <c r="D38">
        <v>7</v>
      </c>
      <c r="E38">
        <v>1</v>
      </c>
      <c r="F38">
        <v>20</v>
      </c>
      <c r="G38" s="11">
        <v>5942.07</v>
      </c>
      <c r="H38" s="4">
        <f t="shared" si="2"/>
        <v>5229.0216</v>
      </c>
      <c r="I38" s="4">
        <f t="shared" si="3"/>
        <v>6536.277</v>
      </c>
      <c r="J38">
        <v>0</v>
      </c>
      <c r="K38">
        <v>5</v>
      </c>
    </row>
    <row r="39" spans="1:11">
      <c r="A39" s="8" t="s">
        <v>85</v>
      </c>
      <c r="B39" s="9">
        <v>4008600381747</v>
      </c>
      <c r="C39" s="10" t="s">
        <v>86</v>
      </c>
      <c r="D39">
        <v>7</v>
      </c>
      <c r="E39">
        <v>1</v>
      </c>
      <c r="F39">
        <v>20</v>
      </c>
      <c r="G39" s="11">
        <v>5942.07</v>
      </c>
      <c r="H39" s="4">
        <f t="shared" si="2"/>
        <v>5229.0216</v>
      </c>
      <c r="I39" s="4">
        <f t="shared" si="3"/>
        <v>6536.277</v>
      </c>
      <c r="J39">
        <v>0</v>
      </c>
      <c r="K39">
        <v>5</v>
      </c>
    </row>
    <row r="40" spans="1:11">
      <c r="A40" s="8" t="s">
        <v>87</v>
      </c>
      <c r="B40" s="9">
        <v>4008600381730</v>
      </c>
      <c r="C40" s="10" t="s">
        <v>88</v>
      </c>
      <c r="D40">
        <v>7</v>
      </c>
      <c r="E40">
        <v>1</v>
      </c>
      <c r="F40">
        <v>20</v>
      </c>
      <c r="G40" s="11">
        <v>5942.07</v>
      </c>
      <c r="H40" s="4">
        <f t="shared" si="2"/>
        <v>5229.0216</v>
      </c>
      <c r="I40" s="4">
        <f t="shared" si="3"/>
        <v>6536.277</v>
      </c>
      <c r="J40">
        <v>0</v>
      </c>
      <c r="K40">
        <v>5</v>
      </c>
    </row>
    <row r="41" spans="1:11">
      <c r="A41" s="8" t="s">
        <v>89</v>
      </c>
      <c r="B41" s="9">
        <v>4008600381723</v>
      </c>
      <c r="C41" s="10" t="s">
        <v>90</v>
      </c>
      <c r="D41">
        <v>7</v>
      </c>
      <c r="E41">
        <v>1</v>
      </c>
      <c r="F41">
        <v>20</v>
      </c>
      <c r="G41" s="11">
        <v>5942.07</v>
      </c>
      <c r="H41" s="4">
        <f t="shared" si="2"/>
        <v>5229.0216</v>
      </c>
      <c r="I41" s="4">
        <f t="shared" si="3"/>
        <v>6536.277</v>
      </c>
      <c r="J41">
        <v>0</v>
      </c>
      <c r="K41">
        <v>5</v>
      </c>
    </row>
    <row r="42" spans="1:11">
      <c r="A42" s="8" t="s">
        <v>91</v>
      </c>
      <c r="B42" s="9">
        <v>4008600381709</v>
      </c>
      <c r="C42" s="10" t="s">
        <v>92</v>
      </c>
      <c r="D42">
        <v>7</v>
      </c>
      <c r="E42">
        <v>1</v>
      </c>
      <c r="F42">
        <v>20</v>
      </c>
      <c r="G42" s="11">
        <v>5942.07</v>
      </c>
      <c r="H42" s="4">
        <f t="shared" si="2"/>
        <v>5229.0216</v>
      </c>
      <c r="I42" s="4">
        <f t="shared" si="3"/>
        <v>6536.277</v>
      </c>
      <c r="J42">
        <v>0</v>
      </c>
      <c r="K42">
        <v>5</v>
      </c>
    </row>
    <row r="43" spans="1:11">
      <c r="A43" s="8" t="s">
        <v>93</v>
      </c>
      <c r="B43" s="9">
        <v>4008600381716</v>
      </c>
      <c r="C43" s="10" t="s">
        <v>94</v>
      </c>
      <c r="D43">
        <v>7</v>
      </c>
      <c r="E43">
        <v>1</v>
      </c>
      <c r="F43">
        <v>20</v>
      </c>
      <c r="G43" s="11">
        <v>5942.07</v>
      </c>
      <c r="H43" s="4">
        <f t="shared" si="2"/>
        <v>5229.0216</v>
      </c>
      <c r="I43" s="4">
        <f t="shared" si="3"/>
        <v>6536.277</v>
      </c>
      <c r="J43">
        <v>0</v>
      </c>
      <c r="K43">
        <v>5</v>
      </c>
    </row>
    <row r="44" spans="1:11">
      <c r="A44" s="8" t="s">
        <v>95</v>
      </c>
      <c r="B44" s="9">
        <v>4008600319306</v>
      </c>
      <c r="C44" s="10" t="s">
        <v>96</v>
      </c>
      <c r="D44">
        <v>7</v>
      </c>
      <c r="E44">
        <v>1</v>
      </c>
      <c r="F44">
        <v>20</v>
      </c>
      <c r="G44" s="11">
        <v>8531.756</v>
      </c>
      <c r="H44" s="4">
        <f t="shared" si="2"/>
        <v>7507.94528</v>
      </c>
      <c r="I44" s="4">
        <f t="shared" si="3"/>
        <v>9384.9316</v>
      </c>
      <c r="J44">
        <v>0</v>
      </c>
      <c r="K44">
        <v>5</v>
      </c>
    </row>
    <row r="45" spans="1:11">
      <c r="A45" s="8" t="s">
        <v>97</v>
      </c>
      <c r="B45" s="9">
        <v>4008600319337</v>
      </c>
      <c r="C45" s="10" t="s">
        <v>98</v>
      </c>
      <c r="D45">
        <v>7</v>
      </c>
      <c r="E45">
        <v>1</v>
      </c>
      <c r="F45">
        <v>20</v>
      </c>
      <c r="G45" s="11">
        <v>8531.756</v>
      </c>
      <c r="H45" s="4">
        <f t="shared" si="2"/>
        <v>7507.94528</v>
      </c>
      <c r="I45" s="4">
        <f t="shared" si="3"/>
        <v>9384.9316</v>
      </c>
      <c r="J45">
        <v>0</v>
      </c>
      <c r="K45">
        <v>5</v>
      </c>
    </row>
    <row r="46" spans="1:11">
      <c r="A46" s="8" t="s">
        <v>99</v>
      </c>
      <c r="B46" s="9">
        <v>7794440303779</v>
      </c>
      <c r="C46" s="10" t="s">
        <v>100</v>
      </c>
      <c r="D46">
        <v>7</v>
      </c>
      <c r="E46">
        <v>1</v>
      </c>
      <c r="F46">
        <v>20</v>
      </c>
      <c r="G46" s="11">
        <v>6533.636</v>
      </c>
      <c r="H46" s="4">
        <f t="shared" si="2"/>
        <v>5749.59968</v>
      </c>
      <c r="I46" s="4">
        <f t="shared" si="3"/>
        <v>7186.9996</v>
      </c>
      <c r="J46">
        <v>0</v>
      </c>
      <c r="K46">
        <v>5</v>
      </c>
    </row>
    <row r="47" spans="1:11">
      <c r="A47" s="8" t="s">
        <v>101</v>
      </c>
      <c r="B47" s="9">
        <v>7794440364312</v>
      </c>
      <c r="C47" s="10" t="s">
        <v>102</v>
      </c>
      <c r="D47">
        <v>7</v>
      </c>
      <c r="E47">
        <v>1</v>
      </c>
      <c r="F47">
        <v>20</v>
      </c>
      <c r="G47" s="11">
        <v>6533.636</v>
      </c>
      <c r="H47" s="4">
        <f t="shared" si="2"/>
        <v>5749.59968</v>
      </c>
      <c r="I47" s="4">
        <f t="shared" si="3"/>
        <v>7186.9996</v>
      </c>
      <c r="J47">
        <v>0</v>
      </c>
      <c r="K47">
        <v>5</v>
      </c>
    </row>
    <row r="48" spans="1:11">
      <c r="A48" s="8" t="s">
        <v>103</v>
      </c>
      <c r="B48" s="9">
        <v>7794440395309</v>
      </c>
      <c r="C48" s="10" t="s">
        <v>104</v>
      </c>
      <c r="D48">
        <v>7</v>
      </c>
      <c r="E48">
        <v>1</v>
      </c>
      <c r="F48">
        <v>20</v>
      </c>
      <c r="G48" s="11">
        <v>6533.636</v>
      </c>
      <c r="H48" s="4">
        <f t="shared" si="2"/>
        <v>5749.59968</v>
      </c>
      <c r="I48" s="4">
        <f t="shared" si="3"/>
        <v>7186.9996</v>
      </c>
      <c r="J48">
        <v>0</v>
      </c>
      <c r="K48">
        <v>5</v>
      </c>
    </row>
    <row r="49" spans="1:11">
      <c r="A49" s="8" t="s">
        <v>105</v>
      </c>
      <c r="B49" s="9">
        <v>4008600370673</v>
      </c>
      <c r="C49" s="10" t="s">
        <v>106</v>
      </c>
      <c r="D49">
        <v>7</v>
      </c>
      <c r="E49">
        <v>1</v>
      </c>
      <c r="F49">
        <v>20</v>
      </c>
      <c r="G49" s="11">
        <v>6860.582</v>
      </c>
      <c r="H49" s="4">
        <f t="shared" si="2"/>
        <v>6037.31216</v>
      </c>
      <c r="I49" s="4">
        <f t="shared" si="3"/>
        <v>7546.6402</v>
      </c>
      <c r="J49">
        <v>0</v>
      </c>
      <c r="K49">
        <v>5</v>
      </c>
    </row>
    <row r="50" spans="1:11">
      <c r="A50" s="8" t="s">
        <v>107</v>
      </c>
      <c r="B50" s="9">
        <v>4008600370697</v>
      </c>
      <c r="C50" s="10" t="s">
        <v>108</v>
      </c>
      <c r="D50">
        <v>7</v>
      </c>
      <c r="E50">
        <v>1</v>
      </c>
      <c r="F50">
        <v>20</v>
      </c>
      <c r="G50" s="11">
        <v>6860.582</v>
      </c>
      <c r="H50" s="4">
        <f t="shared" si="2"/>
        <v>6037.31216</v>
      </c>
      <c r="I50" s="4">
        <f t="shared" si="3"/>
        <v>7546.6402</v>
      </c>
      <c r="J50">
        <v>0</v>
      </c>
      <c r="K50">
        <v>5</v>
      </c>
    </row>
    <row r="51" spans="1:11">
      <c r="A51" s="8" t="s">
        <v>109</v>
      </c>
      <c r="B51" s="9">
        <v>4008600370710</v>
      </c>
      <c r="C51" s="10" t="s">
        <v>110</v>
      </c>
      <c r="D51">
        <v>7</v>
      </c>
      <c r="E51">
        <v>1</v>
      </c>
      <c r="F51">
        <v>20</v>
      </c>
      <c r="G51" s="11">
        <v>6860.582</v>
      </c>
      <c r="H51" s="4">
        <f t="shared" si="2"/>
        <v>6037.31216</v>
      </c>
      <c r="I51" s="4">
        <f t="shared" si="3"/>
        <v>7546.6402</v>
      </c>
      <c r="J51">
        <v>0</v>
      </c>
      <c r="K51">
        <v>5</v>
      </c>
    </row>
    <row r="52" spans="1:11">
      <c r="A52" s="8" t="s">
        <v>111</v>
      </c>
      <c r="B52" s="9">
        <v>4008600370727</v>
      </c>
      <c r="C52" s="10" t="s">
        <v>112</v>
      </c>
      <c r="D52">
        <v>7</v>
      </c>
      <c r="E52">
        <v>1</v>
      </c>
      <c r="F52">
        <v>20</v>
      </c>
      <c r="G52" s="11">
        <v>6860.582</v>
      </c>
      <c r="H52" s="4">
        <f t="shared" si="2"/>
        <v>6037.31216</v>
      </c>
      <c r="I52" s="4">
        <f t="shared" si="3"/>
        <v>7546.6402</v>
      </c>
      <c r="J52">
        <v>0</v>
      </c>
      <c r="K52">
        <v>5</v>
      </c>
    </row>
    <row r="53" spans="1:11">
      <c r="A53" s="8" t="s">
        <v>113</v>
      </c>
      <c r="B53" s="9">
        <v>4008600385929</v>
      </c>
      <c r="C53" s="10" t="s">
        <v>114</v>
      </c>
      <c r="D53">
        <v>7</v>
      </c>
      <c r="E53">
        <v>1</v>
      </c>
      <c r="F53">
        <v>20</v>
      </c>
      <c r="G53" s="11">
        <v>4152.054</v>
      </c>
      <c r="H53" s="4">
        <f t="shared" si="2"/>
        <v>3653.80752</v>
      </c>
      <c r="I53" s="4">
        <f t="shared" si="3"/>
        <v>4567.2594</v>
      </c>
      <c r="J53">
        <v>0</v>
      </c>
      <c r="K53">
        <v>5</v>
      </c>
    </row>
    <row r="54" spans="1:11">
      <c r="A54" s="8" t="s">
        <v>115</v>
      </c>
      <c r="B54" s="9">
        <v>4008600385905</v>
      </c>
      <c r="C54" s="10" t="s">
        <v>116</v>
      </c>
      <c r="D54">
        <v>7</v>
      </c>
      <c r="E54">
        <v>1</v>
      </c>
      <c r="F54">
        <v>20</v>
      </c>
      <c r="G54" s="11">
        <v>4152.054</v>
      </c>
      <c r="H54" s="4">
        <f t="shared" si="2"/>
        <v>3653.80752</v>
      </c>
      <c r="I54" s="4">
        <f t="shared" si="3"/>
        <v>4567.2594</v>
      </c>
      <c r="J54">
        <v>0</v>
      </c>
      <c r="K54">
        <v>5</v>
      </c>
    </row>
    <row r="55" spans="1:11">
      <c r="A55" s="8" t="s">
        <v>117</v>
      </c>
      <c r="B55" s="9">
        <v>4008600385912</v>
      </c>
      <c r="C55" s="10" t="s">
        <v>118</v>
      </c>
      <c r="D55">
        <v>7</v>
      </c>
      <c r="E55">
        <v>1</v>
      </c>
      <c r="F55">
        <v>20</v>
      </c>
      <c r="G55" s="11">
        <v>4152.054</v>
      </c>
      <c r="H55" s="4">
        <f t="shared" si="2"/>
        <v>3653.80752</v>
      </c>
      <c r="I55" s="4">
        <f t="shared" si="3"/>
        <v>4567.2594</v>
      </c>
      <c r="J55">
        <v>0</v>
      </c>
      <c r="K55">
        <v>5</v>
      </c>
    </row>
    <row r="56" spans="1:11">
      <c r="A56" s="8" t="s">
        <v>119</v>
      </c>
      <c r="B56" s="9">
        <v>4008600098799</v>
      </c>
      <c r="C56" s="10" t="s">
        <v>120</v>
      </c>
      <c r="D56">
        <v>7</v>
      </c>
      <c r="E56">
        <v>1</v>
      </c>
      <c r="F56">
        <v>20</v>
      </c>
      <c r="G56" s="11">
        <v>5025.143</v>
      </c>
      <c r="H56" s="4">
        <f t="shared" si="2"/>
        <v>4422.12584</v>
      </c>
      <c r="I56" s="4">
        <f t="shared" si="3"/>
        <v>5527.6573</v>
      </c>
      <c r="J56">
        <v>0</v>
      </c>
      <c r="K56">
        <v>5</v>
      </c>
    </row>
    <row r="57" spans="1:11">
      <c r="A57" s="8" t="s">
        <v>121</v>
      </c>
      <c r="B57" s="9">
        <v>4008600098836</v>
      </c>
      <c r="C57" s="10" t="s">
        <v>122</v>
      </c>
      <c r="D57">
        <v>7</v>
      </c>
      <c r="E57">
        <v>1</v>
      </c>
      <c r="F57">
        <v>20</v>
      </c>
      <c r="G57" s="11">
        <v>4342.201</v>
      </c>
      <c r="H57" s="4">
        <f t="shared" si="2"/>
        <v>3821.13688</v>
      </c>
      <c r="I57" s="4">
        <f t="shared" si="3"/>
        <v>4776.4211</v>
      </c>
      <c r="J57">
        <v>0</v>
      </c>
      <c r="K57">
        <v>5</v>
      </c>
    </row>
    <row r="58" spans="1:11">
      <c r="A58" s="8" t="s">
        <v>123</v>
      </c>
      <c r="B58" s="9">
        <v>4008600271482</v>
      </c>
      <c r="C58" s="10" t="s">
        <v>124</v>
      </c>
      <c r="D58">
        <v>7</v>
      </c>
      <c r="E58">
        <v>1</v>
      </c>
      <c r="F58">
        <v>20</v>
      </c>
      <c r="G58" s="11">
        <v>6333.983</v>
      </c>
      <c r="H58" s="4">
        <f t="shared" si="2"/>
        <v>5573.90504</v>
      </c>
      <c r="I58" s="4">
        <f t="shared" si="3"/>
        <v>6967.3813</v>
      </c>
      <c r="J58">
        <v>0</v>
      </c>
      <c r="K58">
        <v>5</v>
      </c>
    </row>
    <row r="59" spans="1:11">
      <c r="A59" s="8" t="s">
        <v>125</v>
      </c>
      <c r="B59" s="9">
        <v>7794440500024</v>
      </c>
      <c r="C59" s="10" t="s">
        <v>126</v>
      </c>
      <c r="D59">
        <v>7</v>
      </c>
      <c r="E59">
        <v>1</v>
      </c>
      <c r="F59">
        <v>20</v>
      </c>
      <c r="G59" s="11">
        <v>77508.889</v>
      </c>
      <c r="H59" s="4">
        <f t="shared" si="2"/>
        <v>68207.82232</v>
      </c>
      <c r="I59" s="4">
        <f t="shared" si="3"/>
        <v>85259.7779</v>
      </c>
      <c r="J59">
        <v>0</v>
      </c>
      <c r="K59">
        <v>5</v>
      </c>
    </row>
    <row r="60" spans="1:11">
      <c r="A60" s="8" t="s">
        <v>127</v>
      </c>
      <c r="B60" s="9">
        <v>7794440500048</v>
      </c>
      <c r="C60" s="10" t="s">
        <v>128</v>
      </c>
      <c r="D60">
        <v>7</v>
      </c>
      <c r="E60">
        <v>1</v>
      </c>
      <c r="F60">
        <v>20</v>
      </c>
      <c r="G60" s="11">
        <v>40248.149</v>
      </c>
      <c r="H60" s="4">
        <f t="shared" si="2"/>
        <v>35418.37112</v>
      </c>
      <c r="I60" s="4">
        <f t="shared" si="3"/>
        <v>44272.9639</v>
      </c>
      <c r="J60">
        <v>0</v>
      </c>
      <c r="K60">
        <v>5</v>
      </c>
    </row>
    <row r="61" spans="1:11">
      <c r="A61" s="8" t="s">
        <v>129</v>
      </c>
      <c r="B61" s="9">
        <v>4008600260332</v>
      </c>
      <c r="C61" s="10" t="s">
        <v>130</v>
      </c>
      <c r="D61">
        <v>7</v>
      </c>
      <c r="E61">
        <v>1</v>
      </c>
      <c r="F61">
        <v>20</v>
      </c>
      <c r="G61" s="11">
        <v>30464.069</v>
      </c>
      <c r="H61" s="4">
        <f t="shared" si="2"/>
        <v>26808.38072</v>
      </c>
      <c r="I61" s="4">
        <f t="shared" si="3"/>
        <v>33510.4759</v>
      </c>
      <c r="J61">
        <v>0</v>
      </c>
      <c r="K61">
        <v>5</v>
      </c>
    </row>
    <row r="62" spans="1:11">
      <c r="A62" s="12" t="s">
        <v>131</v>
      </c>
      <c r="B62" s="9">
        <v>4008600246466</v>
      </c>
      <c r="C62" s="10" t="s">
        <v>132</v>
      </c>
      <c r="D62">
        <v>7</v>
      </c>
      <c r="E62">
        <v>1</v>
      </c>
      <c r="F62">
        <v>20</v>
      </c>
      <c r="G62" s="11">
        <v>7875.752</v>
      </c>
      <c r="H62" s="4">
        <f t="shared" si="2"/>
        <v>6930.66176</v>
      </c>
      <c r="I62" s="4">
        <f t="shared" si="3"/>
        <v>8663.3272</v>
      </c>
      <c r="J62">
        <v>0</v>
      </c>
      <c r="K62">
        <v>5</v>
      </c>
    </row>
    <row r="63" spans="1:11">
      <c r="A63" s="12" t="s">
        <v>133</v>
      </c>
      <c r="B63" s="9">
        <v>4008600122968</v>
      </c>
      <c r="C63" s="10" t="s">
        <v>134</v>
      </c>
      <c r="D63">
        <v>7</v>
      </c>
      <c r="E63">
        <v>1</v>
      </c>
      <c r="F63">
        <v>20</v>
      </c>
      <c r="G63" s="11">
        <v>4771.614</v>
      </c>
      <c r="H63" s="4">
        <f t="shared" si="2"/>
        <v>4199.02032</v>
      </c>
      <c r="I63" s="4">
        <f t="shared" si="3"/>
        <v>5248.7754</v>
      </c>
      <c r="J63">
        <v>0</v>
      </c>
      <c r="K63">
        <v>5</v>
      </c>
    </row>
    <row r="64" spans="1:11">
      <c r="A64" s="12" t="s">
        <v>135</v>
      </c>
      <c r="B64" s="9">
        <v>4008600259466</v>
      </c>
      <c r="C64" s="10" t="s">
        <v>136</v>
      </c>
      <c r="D64">
        <v>7</v>
      </c>
      <c r="E64">
        <v>1</v>
      </c>
      <c r="F64">
        <v>20</v>
      </c>
      <c r="G64" s="11">
        <v>7677.154</v>
      </c>
      <c r="H64" s="4">
        <f t="shared" si="2"/>
        <v>6755.89552</v>
      </c>
      <c r="I64" s="4">
        <f t="shared" si="3"/>
        <v>8444.8694</v>
      </c>
      <c r="J64">
        <v>0</v>
      </c>
      <c r="K64">
        <v>5</v>
      </c>
    </row>
    <row r="65" spans="1:11">
      <c r="A65" s="12" t="s">
        <v>137</v>
      </c>
      <c r="B65" s="9">
        <v>4008600090205</v>
      </c>
      <c r="C65" s="10" t="s">
        <v>138</v>
      </c>
      <c r="D65">
        <v>7</v>
      </c>
      <c r="E65">
        <v>1</v>
      </c>
      <c r="F65">
        <v>20</v>
      </c>
      <c r="G65" s="11">
        <v>7335.419</v>
      </c>
      <c r="H65" s="4">
        <f t="shared" si="2"/>
        <v>6455.16872</v>
      </c>
      <c r="I65" s="4">
        <f t="shared" si="3"/>
        <v>8068.9609</v>
      </c>
      <c r="J65">
        <v>0</v>
      </c>
      <c r="K65">
        <v>5</v>
      </c>
    </row>
    <row r="66" spans="1:11">
      <c r="A66" s="12" t="s">
        <v>139</v>
      </c>
      <c r="B66" s="9">
        <v>4008600283386</v>
      </c>
      <c r="C66" s="10" t="s">
        <v>140</v>
      </c>
      <c r="D66">
        <v>7</v>
      </c>
      <c r="E66">
        <v>1</v>
      </c>
      <c r="F66">
        <v>20</v>
      </c>
      <c r="G66" s="11">
        <v>5392.231</v>
      </c>
      <c r="H66" s="4">
        <f t="shared" si="2"/>
        <v>4745.16328</v>
      </c>
      <c r="I66" s="4">
        <f t="shared" si="3"/>
        <v>5931.4541</v>
      </c>
      <c r="J66">
        <v>0</v>
      </c>
      <c r="K66">
        <v>5</v>
      </c>
    </row>
    <row r="67" spans="1:11">
      <c r="A67" s="12" t="s">
        <v>141</v>
      </c>
      <c r="B67" s="9">
        <v>4008600237006</v>
      </c>
      <c r="C67" s="10" t="s">
        <v>142</v>
      </c>
      <c r="D67">
        <v>7</v>
      </c>
      <c r="E67">
        <v>1</v>
      </c>
      <c r="F67">
        <v>20</v>
      </c>
      <c r="G67" s="11">
        <v>26319.937</v>
      </c>
      <c r="H67" s="4">
        <f t="shared" ref="H67:H96" si="4">G67*0.88</f>
        <v>23161.54456</v>
      </c>
      <c r="I67" s="4">
        <f t="shared" ref="I67:I96" si="5">G67*1.1</f>
        <v>28951.9307</v>
      </c>
      <c r="J67">
        <v>0</v>
      </c>
      <c r="K67">
        <v>5</v>
      </c>
    </row>
    <row r="68" spans="1:11">
      <c r="A68" s="13" t="s">
        <v>143</v>
      </c>
      <c r="B68" s="9">
        <v>4008600299882</v>
      </c>
      <c r="C68" s="14" t="s">
        <v>144</v>
      </c>
      <c r="D68">
        <v>7</v>
      </c>
      <c r="E68">
        <v>1</v>
      </c>
      <c r="F68">
        <v>20</v>
      </c>
      <c r="G68" s="11">
        <v>7433.133</v>
      </c>
      <c r="H68" s="4">
        <f t="shared" si="4"/>
        <v>6541.15704</v>
      </c>
      <c r="I68" s="4">
        <f t="shared" si="5"/>
        <v>8176.4463</v>
      </c>
      <c r="J68">
        <v>0</v>
      </c>
      <c r="K68">
        <v>5</v>
      </c>
    </row>
    <row r="69" spans="1:11">
      <c r="A69" s="13" t="s">
        <v>145</v>
      </c>
      <c r="B69" s="9">
        <v>4008600299868</v>
      </c>
      <c r="C69" s="14" t="s">
        <v>146</v>
      </c>
      <c r="D69">
        <v>7</v>
      </c>
      <c r="E69">
        <v>1</v>
      </c>
      <c r="F69">
        <v>20</v>
      </c>
      <c r="G69" s="11">
        <v>7433.133</v>
      </c>
      <c r="H69" s="4">
        <f t="shared" si="4"/>
        <v>6541.15704</v>
      </c>
      <c r="I69" s="4">
        <f t="shared" si="5"/>
        <v>8176.4463</v>
      </c>
      <c r="J69">
        <v>0</v>
      </c>
      <c r="K69">
        <v>5</v>
      </c>
    </row>
    <row r="70" spans="1:11">
      <c r="A70" s="13" t="s">
        <v>147</v>
      </c>
      <c r="B70" s="9">
        <v>4008600090212</v>
      </c>
      <c r="C70" s="14" t="s">
        <v>148</v>
      </c>
      <c r="D70">
        <v>7</v>
      </c>
      <c r="E70">
        <v>1</v>
      </c>
      <c r="F70">
        <v>20</v>
      </c>
      <c r="G70" s="11">
        <v>14956.058</v>
      </c>
      <c r="H70" s="4">
        <f t="shared" si="4"/>
        <v>13161.33104</v>
      </c>
      <c r="I70" s="4">
        <f t="shared" si="5"/>
        <v>16451.6638</v>
      </c>
      <c r="J70">
        <v>0</v>
      </c>
      <c r="K70">
        <v>5</v>
      </c>
    </row>
    <row r="71" spans="1:11">
      <c r="A71" s="13" t="s">
        <v>149</v>
      </c>
      <c r="B71" s="9">
        <v>4008600208945</v>
      </c>
      <c r="C71" s="14" t="s">
        <v>150</v>
      </c>
      <c r="D71">
        <v>7</v>
      </c>
      <c r="E71">
        <v>1</v>
      </c>
      <c r="F71">
        <v>20</v>
      </c>
      <c r="G71" s="11">
        <v>43058.088</v>
      </c>
      <c r="H71" s="4">
        <f t="shared" si="4"/>
        <v>37891.11744</v>
      </c>
      <c r="I71" s="4">
        <f t="shared" si="5"/>
        <v>47363.8968</v>
      </c>
      <c r="J71">
        <v>0</v>
      </c>
      <c r="K71">
        <v>5</v>
      </c>
    </row>
    <row r="72" spans="1:11">
      <c r="A72" s="13" t="s">
        <v>151</v>
      </c>
      <c r="B72" s="9">
        <v>4008600371991</v>
      </c>
      <c r="C72" s="14" t="s">
        <v>152</v>
      </c>
      <c r="D72">
        <v>7</v>
      </c>
      <c r="E72">
        <v>1</v>
      </c>
      <c r="F72">
        <v>20</v>
      </c>
      <c r="G72" s="11">
        <v>126008.857</v>
      </c>
      <c r="H72" s="4">
        <f t="shared" si="4"/>
        <v>110887.79416</v>
      </c>
      <c r="I72" s="4">
        <f t="shared" si="5"/>
        <v>138609.7427</v>
      </c>
      <c r="J72">
        <v>0</v>
      </c>
      <c r="K72">
        <v>5</v>
      </c>
    </row>
    <row r="73" spans="1:11">
      <c r="A73" s="8" t="s">
        <v>153</v>
      </c>
      <c r="B73" s="9">
        <v>4008600424512</v>
      </c>
      <c r="C73" s="15" t="s">
        <v>154</v>
      </c>
      <c r="D73">
        <v>7</v>
      </c>
      <c r="E73">
        <v>1</v>
      </c>
      <c r="F73">
        <v>20</v>
      </c>
      <c r="G73" s="11">
        <v>6233.628</v>
      </c>
      <c r="H73" s="4">
        <f t="shared" si="4"/>
        <v>5485.59264</v>
      </c>
      <c r="I73" s="4">
        <f t="shared" si="5"/>
        <v>6856.9908</v>
      </c>
      <c r="J73">
        <v>0</v>
      </c>
      <c r="K73">
        <v>5</v>
      </c>
    </row>
    <row r="74" spans="1:11">
      <c r="A74" s="8" t="s">
        <v>155</v>
      </c>
      <c r="B74" s="9">
        <v>4008600424505</v>
      </c>
      <c r="C74" s="10" t="s">
        <v>156</v>
      </c>
      <c r="D74">
        <v>7</v>
      </c>
      <c r="E74">
        <v>1</v>
      </c>
      <c r="F74">
        <v>20</v>
      </c>
      <c r="G74" s="11">
        <v>6233.628</v>
      </c>
      <c r="H74" s="4">
        <f t="shared" si="4"/>
        <v>5485.59264</v>
      </c>
      <c r="I74" s="4">
        <f t="shared" si="5"/>
        <v>6856.9908</v>
      </c>
      <c r="J74">
        <v>0</v>
      </c>
      <c r="K74">
        <v>5</v>
      </c>
    </row>
    <row r="75" spans="1:11">
      <c r="A75" s="8" t="s">
        <v>157</v>
      </c>
      <c r="B75" s="9">
        <v>4008600169512</v>
      </c>
      <c r="C75" s="10" t="s">
        <v>158</v>
      </c>
      <c r="D75">
        <v>7</v>
      </c>
      <c r="E75">
        <v>1</v>
      </c>
      <c r="F75">
        <v>20</v>
      </c>
      <c r="G75" s="11">
        <v>4050.115</v>
      </c>
      <c r="H75" s="4">
        <f t="shared" si="4"/>
        <v>3564.1012</v>
      </c>
      <c r="I75" s="4">
        <f t="shared" si="5"/>
        <v>4455.1265</v>
      </c>
      <c r="J75">
        <v>0</v>
      </c>
      <c r="K75">
        <v>5</v>
      </c>
    </row>
    <row r="76" spans="1:11">
      <c r="A76" s="8" t="s">
        <v>159</v>
      </c>
      <c r="B76" s="9">
        <v>4008600169574</v>
      </c>
      <c r="C76" s="10" t="s">
        <v>160</v>
      </c>
      <c r="D76">
        <v>7</v>
      </c>
      <c r="E76">
        <v>1</v>
      </c>
      <c r="F76">
        <v>20</v>
      </c>
      <c r="G76" s="11">
        <v>4050.115</v>
      </c>
      <c r="H76" s="4">
        <f t="shared" si="4"/>
        <v>3564.1012</v>
      </c>
      <c r="I76" s="4">
        <f t="shared" si="5"/>
        <v>4455.1265</v>
      </c>
      <c r="J76">
        <v>0</v>
      </c>
      <c r="K76">
        <v>5</v>
      </c>
    </row>
    <row r="77" spans="1:11">
      <c r="A77" s="8" t="s">
        <v>161</v>
      </c>
      <c r="B77" s="9">
        <v>4008600169338</v>
      </c>
      <c r="C77" s="10" t="s">
        <v>162</v>
      </c>
      <c r="D77">
        <v>7</v>
      </c>
      <c r="E77">
        <v>1</v>
      </c>
      <c r="F77">
        <v>20</v>
      </c>
      <c r="G77" s="11">
        <v>4050.115</v>
      </c>
      <c r="H77" s="4">
        <f t="shared" si="4"/>
        <v>3564.1012</v>
      </c>
      <c r="I77" s="4">
        <f t="shared" si="5"/>
        <v>4455.1265</v>
      </c>
      <c r="J77">
        <v>0</v>
      </c>
      <c r="K77">
        <v>5</v>
      </c>
    </row>
    <row r="78" spans="1:11">
      <c r="A78" s="8" t="s">
        <v>163</v>
      </c>
      <c r="B78" s="9">
        <v>4008600382409</v>
      </c>
      <c r="C78" s="10" t="s">
        <v>164</v>
      </c>
      <c r="D78">
        <v>7</v>
      </c>
      <c r="E78">
        <v>1</v>
      </c>
      <c r="F78">
        <v>20</v>
      </c>
      <c r="G78" s="11">
        <v>4050.115</v>
      </c>
      <c r="H78" s="4">
        <f t="shared" si="4"/>
        <v>3564.1012</v>
      </c>
      <c r="I78" s="4">
        <f t="shared" si="5"/>
        <v>4455.1265</v>
      </c>
      <c r="J78">
        <v>0</v>
      </c>
      <c r="K78">
        <v>5</v>
      </c>
    </row>
    <row r="79" spans="1:11">
      <c r="A79" s="8" t="s">
        <v>165</v>
      </c>
      <c r="B79" s="9">
        <v>4008600406204</v>
      </c>
      <c r="C79" s="10" t="s">
        <v>166</v>
      </c>
      <c r="D79">
        <v>7</v>
      </c>
      <c r="E79">
        <v>1</v>
      </c>
      <c r="F79">
        <v>20</v>
      </c>
      <c r="G79" s="11">
        <v>24667.249</v>
      </c>
      <c r="H79" s="4">
        <f t="shared" si="4"/>
        <v>21707.17912</v>
      </c>
      <c r="I79" s="4">
        <f t="shared" si="5"/>
        <v>27133.9739</v>
      </c>
      <c r="J79">
        <v>0</v>
      </c>
      <c r="K79">
        <v>5</v>
      </c>
    </row>
    <row r="80" spans="1:11">
      <c r="A80" s="8" t="s">
        <v>167</v>
      </c>
      <c r="B80" s="9">
        <v>4008600406211</v>
      </c>
      <c r="C80" s="10" t="s">
        <v>168</v>
      </c>
      <c r="D80">
        <v>7</v>
      </c>
      <c r="E80">
        <v>1</v>
      </c>
      <c r="F80">
        <v>20</v>
      </c>
      <c r="G80" s="11">
        <v>24667.249</v>
      </c>
      <c r="H80" s="4">
        <f t="shared" si="4"/>
        <v>21707.17912</v>
      </c>
      <c r="I80" s="4">
        <f t="shared" si="5"/>
        <v>27133.9739</v>
      </c>
      <c r="J80">
        <v>0</v>
      </c>
      <c r="K80">
        <v>5</v>
      </c>
    </row>
    <row r="81" spans="1:11">
      <c r="A81" s="8" t="s">
        <v>169</v>
      </c>
      <c r="B81" s="9">
        <v>4008600238546</v>
      </c>
      <c r="C81" s="10" t="s">
        <v>170</v>
      </c>
      <c r="D81">
        <v>7</v>
      </c>
      <c r="E81">
        <v>1</v>
      </c>
      <c r="F81">
        <v>20</v>
      </c>
      <c r="G81" s="11">
        <v>5234.303</v>
      </c>
      <c r="H81" s="4">
        <f t="shared" si="4"/>
        <v>4606.18664</v>
      </c>
      <c r="I81" s="4">
        <f t="shared" si="5"/>
        <v>5757.7333</v>
      </c>
      <c r="J81">
        <v>0</v>
      </c>
      <c r="K81">
        <v>5</v>
      </c>
    </row>
    <row r="82" spans="1:11">
      <c r="A82" s="8" t="s">
        <v>171</v>
      </c>
      <c r="B82" s="9">
        <v>4008600334613</v>
      </c>
      <c r="C82" s="10" t="s">
        <v>172</v>
      </c>
      <c r="D82">
        <v>7</v>
      </c>
      <c r="E82">
        <v>1</v>
      </c>
      <c r="F82">
        <v>20</v>
      </c>
      <c r="G82" s="11">
        <v>5217.93</v>
      </c>
      <c r="H82" s="4">
        <f t="shared" si="4"/>
        <v>4591.7784</v>
      </c>
      <c r="I82" s="4">
        <f t="shared" si="5"/>
        <v>5739.723</v>
      </c>
      <c r="J82">
        <v>0</v>
      </c>
      <c r="K82">
        <v>5</v>
      </c>
    </row>
    <row r="83" spans="1:11">
      <c r="A83" s="8" t="s">
        <v>173</v>
      </c>
      <c r="B83" s="9">
        <v>4008600237617</v>
      </c>
      <c r="C83" s="10" t="s">
        <v>174</v>
      </c>
      <c r="D83">
        <v>7</v>
      </c>
      <c r="E83">
        <v>1</v>
      </c>
      <c r="F83">
        <v>20</v>
      </c>
      <c r="G83" s="11">
        <v>4525.481</v>
      </c>
      <c r="H83" s="4">
        <f t="shared" si="4"/>
        <v>3982.42328</v>
      </c>
      <c r="I83" s="4">
        <f t="shared" si="5"/>
        <v>4978.0291</v>
      </c>
      <c r="J83">
        <v>0</v>
      </c>
      <c r="K83">
        <v>5</v>
      </c>
    </row>
    <row r="84" spans="1:11">
      <c r="A84" s="8" t="s">
        <v>175</v>
      </c>
      <c r="B84" s="10" t="s">
        <v>175</v>
      </c>
      <c r="C84" s="10" t="s">
        <v>176</v>
      </c>
      <c r="D84">
        <v>7</v>
      </c>
      <c r="E84">
        <v>1</v>
      </c>
      <c r="F84">
        <v>20</v>
      </c>
      <c r="G84" s="11">
        <v>4264.558</v>
      </c>
      <c r="H84" s="4">
        <f t="shared" si="4"/>
        <v>3752.81104</v>
      </c>
      <c r="I84" s="4">
        <f t="shared" si="5"/>
        <v>4691.0138</v>
      </c>
      <c r="J84">
        <v>0</v>
      </c>
      <c r="K84">
        <v>5</v>
      </c>
    </row>
    <row r="85" spans="1:11">
      <c r="A85" s="8" t="s">
        <v>177</v>
      </c>
      <c r="B85" s="9">
        <v>4008600130130</v>
      </c>
      <c r="C85" s="10" t="s">
        <v>178</v>
      </c>
      <c r="D85">
        <v>7</v>
      </c>
      <c r="E85">
        <v>1</v>
      </c>
      <c r="F85">
        <v>20</v>
      </c>
      <c r="G85" s="11">
        <v>4207.514</v>
      </c>
      <c r="H85" s="4">
        <f t="shared" si="4"/>
        <v>3702.61232</v>
      </c>
      <c r="I85" s="4">
        <f t="shared" si="5"/>
        <v>4628.2654</v>
      </c>
      <c r="J85">
        <v>0</v>
      </c>
      <c r="K85">
        <v>5</v>
      </c>
    </row>
    <row r="86" spans="1:11">
      <c r="A86" s="8" t="s">
        <v>179</v>
      </c>
      <c r="B86" s="9">
        <v>4008600401551</v>
      </c>
      <c r="C86" s="10" t="s">
        <v>180</v>
      </c>
      <c r="D86">
        <v>7</v>
      </c>
      <c r="E86">
        <v>1</v>
      </c>
      <c r="F86">
        <v>20</v>
      </c>
      <c r="G86" s="11">
        <v>6209.859</v>
      </c>
      <c r="H86" s="4">
        <f t="shared" si="4"/>
        <v>5464.67592</v>
      </c>
      <c r="I86" s="4">
        <f t="shared" si="5"/>
        <v>6830.8449</v>
      </c>
      <c r="J86">
        <v>0</v>
      </c>
      <c r="K86">
        <v>5</v>
      </c>
    </row>
    <row r="87" spans="1:11">
      <c r="A87" s="8" t="s">
        <v>181</v>
      </c>
      <c r="B87" s="9">
        <v>4008600401643</v>
      </c>
      <c r="C87" s="10" t="s">
        <v>182</v>
      </c>
      <c r="D87">
        <v>7</v>
      </c>
      <c r="E87">
        <v>1</v>
      </c>
      <c r="F87">
        <v>20</v>
      </c>
      <c r="G87" s="11">
        <v>6209.859</v>
      </c>
      <c r="H87" s="4">
        <f t="shared" si="4"/>
        <v>5464.67592</v>
      </c>
      <c r="I87" s="4">
        <f t="shared" si="5"/>
        <v>6830.8449</v>
      </c>
      <c r="J87">
        <v>0</v>
      </c>
      <c r="K87">
        <v>5</v>
      </c>
    </row>
    <row r="88" spans="1:11">
      <c r="A88" s="8" t="s">
        <v>183</v>
      </c>
      <c r="B88" s="9">
        <v>4008600424611</v>
      </c>
      <c r="C88" s="10" t="s">
        <v>184</v>
      </c>
      <c r="D88">
        <v>7</v>
      </c>
      <c r="E88">
        <v>1</v>
      </c>
      <c r="F88">
        <v>20</v>
      </c>
      <c r="G88" s="11">
        <v>10189.726</v>
      </c>
      <c r="H88" s="4">
        <f t="shared" si="4"/>
        <v>8966.95888</v>
      </c>
      <c r="I88" s="4">
        <f t="shared" si="5"/>
        <v>11208.6986</v>
      </c>
      <c r="J88">
        <v>0</v>
      </c>
      <c r="K88">
        <v>5</v>
      </c>
    </row>
    <row r="89" spans="1:11">
      <c r="A89" s="8" t="s">
        <v>185</v>
      </c>
      <c r="B89" s="9">
        <v>4008600424628</v>
      </c>
      <c r="C89" s="10" t="s">
        <v>186</v>
      </c>
      <c r="D89">
        <v>7</v>
      </c>
      <c r="E89">
        <v>1</v>
      </c>
      <c r="F89">
        <v>20</v>
      </c>
      <c r="G89" s="11">
        <v>11586.772</v>
      </c>
      <c r="H89" s="4">
        <f t="shared" si="4"/>
        <v>10196.35936</v>
      </c>
      <c r="I89" s="4">
        <f t="shared" si="5"/>
        <v>12745.4492</v>
      </c>
      <c r="J89">
        <v>0</v>
      </c>
      <c r="K89">
        <v>5</v>
      </c>
    </row>
    <row r="90" spans="1:11">
      <c r="A90" s="12" t="s">
        <v>187</v>
      </c>
      <c r="B90" s="9">
        <v>4008600421504</v>
      </c>
      <c r="C90" s="10" t="s">
        <v>188</v>
      </c>
      <c r="D90">
        <v>7</v>
      </c>
      <c r="E90">
        <v>1</v>
      </c>
      <c r="F90">
        <v>20</v>
      </c>
      <c r="G90" s="11">
        <v>7567.82</v>
      </c>
      <c r="H90" s="4">
        <f t="shared" si="4"/>
        <v>6659.6816</v>
      </c>
      <c r="I90" s="4">
        <f t="shared" si="5"/>
        <v>8324.602</v>
      </c>
      <c r="J90">
        <v>0</v>
      </c>
      <c r="K90">
        <v>5</v>
      </c>
    </row>
    <row r="91" spans="1:11">
      <c r="A91" s="8" t="s">
        <v>189</v>
      </c>
      <c r="B91" s="9">
        <v>4008600427551</v>
      </c>
      <c r="C91" s="10" t="s">
        <v>190</v>
      </c>
      <c r="D91">
        <v>7</v>
      </c>
      <c r="E91">
        <v>1</v>
      </c>
      <c r="F91">
        <v>20</v>
      </c>
      <c r="G91" s="11">
        <v>6533.636</v>
      </c>
      <c r="H91" s="4">
        <f t="shared" si="4"/>
        <v>5749.59968</v>
      </c>
      <c r="I91" s="4">
        <f t="shared" si="5"/>
        <v>7186.9996</v>
      </c>
      <c r="J91">
        <v>0</v>
      </c>
      <c r="K91">
        <v>5</v>
      </c>
    </row>
    <row r="92" spans="1:11">
      <c r="A92" s="8" t="s">
        <v>191</v>
      </c>
      <c r="B92" s="9">
        <v>4008600427544</v>
      </c>
      <c r="C92" s="10" t="s">
        <v>192</v>
      </c>
      <c r="D92">
        <v>7</v>
      </c>
      <c r="E92">
        <v>1</v>
      </c>
      <c r="F92">
        <v>20</v>
      </c>
      <c r="G92" s="11">
        <v>6533.636</v>
      </c>
      <c r="H92" s="4">
        <f t="shared" si="4"/>
        <v>5749.59968</v>
      </c>
      <c r="I92" s="4">
        <f t="shared" si="5"/>
        <v>7186.9996</v>
      </c>
      <c r="J92">
        <v>0</v>
      </c>
      <c r="K92">
        <v>5</v>
      </c>
    </row>
    <row r="93" spans="1:11">
      <c r="A93" s="8" t="s">
        <v>193</v>
      </c>
      <c r="B93" s="9">
        <v>4008600427520</v>
      </c>
      <c r="C93" s="10" t="s">
        <v>194</v>
      </c>
      <c r="D93">
        <v>7</v>
      </c>
      <c r="E93">
        <v>1</v>
      </c>
      <c r="F93">
        <v>20</v>
      </c>
      <c r="G93" s="11">
        <v>6533.636</v>
      </c>
      <c r="H93" s="4">
        <f t="shared" si="4"/>
        <v>5749.59968</v>
      </c>
      <c r="I93" s="4">
        <f t="shared" si="5"/>
        <v>7186.9996</v>
      </c>
      <c r="J93">
        <v>0</v>
      </c>
      <c r="K93">
        <v>5</v>
      </c>
    </row>
    <row r="94" spans="1:11">
      <c r="A94" s="8" t="s">
        <v>195</v>
      </c>
      <c r="B94" s="9">
        <v>4008600427537</v>
      </c>
      <c r="C94" s="10" t="s">
        <v>196</v>
      </c>
      <c r="D94">
        <v>7</v>
      </c>
      <c r="E94">
        <v>1</v>
      </c>
      <c r="F94">
        <v>20</v>
      </c>
      <c r="G94" s="11">
        <v>6533.636</v>
      </c>
      <c r="H94" s="4">
        <f t="shared" si="4"/>
        <v>5749.59968</v>
      </c>
      <c r="I94" s="4">
        <f t="shared" si="5"/>
        <v>7186.9996</v>
      </c>
      <c r="J94">
        <v>0</v>
      </c>
      <c r="K94">
        <v>5</v>
      </c>
    </row>
    <row r="95" spans="1:11">
      <c r="A95" s="8" t="s">
        <v>197</v>
      </c>
      <c r="B95" s="9">
        <v>4008600427506</v>
      </c>
      <c r="C95" s="10" t="s">
        <v>198</v>
      </c>
      <c r="D95">
        <v>7</v>
      </c>
      <c r="E95">
        <v>1</v>
      </c>
      <c r="F95">
        <v>20</v>
      </c>
      <c r="G95" s="11">
        <v>6533.636</v>
      </c>
      <c r="H95" s="4">
        <f t="shared" si="4"/>
        <v>5749.59968</v>
      </c>
      <c r="I95" s="4">
        <f t="shared" si="5"/>
        <v>7186.9996</v>
      </c>
      <c r="J95">
        <v>0</v>
      </c>
      <c r="K95">
        <v>5</v>
      </c>
    </row>
    <row r="96" spans="1:11">
      <c r="A96" s="8" t="s">
        <v>199</v>
      </c>
      <c r="B96" s="9">
        <v>4008600427513</v>
      </c>
      <c r="C96" s="10" t="s">
        <v>200</v>
      </c>
      <c r="D96">
        <v>7</v>
      </c>
      <c r="E96">
        <v>1</v>
      </c>
      <c r="F96">
        <v>20</v>
      </c>
      <c r="G96" s="11">
        <v>6533.636</v>
      </c>
      <c r="H96" s="4">
        <f t="shared" si="4"/>
        <v>5749.59968</v>
      </c>
      <c r="I96" s="4">
        <f t="shared" si="5"/>
        <v>7186.9996</v>
      </c>
      <c r="J96">
        <v>0</v>
      </c>
      <c r="K96">
        <v>5</v>
      </c>
    </row>
    <row r="97" spans="1:11">
      <c r="A97" s="16" t="s">
        <v>201</v>
      </c>
      <c r="B97" s="17">
        <v>607869264279</v>
      </c>
      <c r="C97" s="18" t="s">
        <v>202</v>
      </c>
      <c r="D97">
        <v>7</v>
      </c>
      <c r="E97">
        <v>1</v>
      </c>
      <c r="F97">
        <v>19</v>
      </c>
      <c r="G97" s="19">
        <v>10220.748</v>
      </c>
      <c r="H97" s="4">
        <f>G97*0.7</f>
        <v>7154.5236</v>
      </c>
      <c r="I97" s="4">
        <f>G97</f>
        <v>10220.748</v>
      </c>
      <c r="J97">
        <v>0</v>
      </c>
      <c r="K97">
        <v>5</v>
      </c>
    </row>
    <row r="98" spans="1:11">
      <c r="A98" s="20" t="s">
        <v>203</v>
      </c>
      <c r="B98" s="21">
        <v>607869233398</v>
      </c>
      <c r="C98" s="22" t="s">
        <v>204</v>
      </c>
      <c r="D98">
        <v>7</v>
      </c>
      <c r="E98">
        <v>1</v>
      </c>
      <c r="F98">
        <v>19</v>
      </c>
      <c r="G98" s="23">
        <v>10435.48</v>
      </c>
      <c r="H98" s="4">
        <f t="shared" ref="H98:H129" si="6">G98*0.7</f>
        <v>7304.836</v>
      </c>
      <c r="I98" s="4">
        <f t="shared" ref="I98:I129" si="7">G98</f>
        <v>10435.48</v>
      </c>
      <c r="J98">
        <v>0</v>
      </c>
      <c r="K98">
        <v>5</v>
      </c>
    </row>
    <row r="99" spans="1:11">
      <c r="A99" s="24" t="s">
        <v>205</v>
      </c>
      <c r="B99" s="25">
        <v>607869233374</v>
      </c>
      <c r="C99" s="26" t="s">
        <v>206</v>
      </c>
      <c r="D99">
        <v>7</v>
      </c>
      <c r="E99">
        <v>1</v>
      </c>
      <c r="F99">
        <v>19</v>
      </c>
      <c r="G99" s="19">
        <v>10435.48</v>
      </c>
      <c r="H99" s="4">
        <f t="shared" si="6"/>
        <v>7304.836</v>
      </c>
      <c r="I99" s="4">
        <f t="shared" si="7"/>
        <v>10435.48</v>
      </c>
      <c r="J99">
        <v>0</v>
      </c>
      <c r="K99">
        <v>5</v>
      </c>
    </row>
    <row r="100" spans="1:11">
      <c r="A100" s="27" t="s">
        <v>207</v>
      </c>
      <c r="B100" s="28">
        <v>607869282228</v>
      </c>
      <c r="C100" s="29" t="s">
        <v>208</v>
      </c>
      <c r="D100">
        <v>7</v>
      </c>
      <c r="E100">
        <v>1</v>
      </c>
      <c r="F100">
        <v>19</v>
      </c>
      <c r="G100" s="30">
        <v>20814.552</v>
      </c>
      <c r="H100" s="4">
        <f t="shared" si="6"/>
        <v>14570.1864</v>
      </c>
      <c r="I100" s="4">
        <f t="shared" si="7"/>
        <v>20814.552</v>
      </c>
      <c r="J100">
        <v>0</v>
      </c>
      <c r="K100">
        <v>5</v>
      </c>
    </row>
    <row r="101" spans="1:11">
      <c r="A101" s="27" t="s">
        <v>209</v>
      </c>
      <c r="B101" s="28">
        <v>607869265122</v>
      </c>
      <c r="C101" s="29" t="s">
        <v>210</v>
      </c>
      <c r="D101">
        <v>7</v>
      </c>
      <c r="E101">
        <v>1</v>
      </c>
      <c r="F101">
        <v>19</v>
      </c>
      <c r="G101" s="31">
        <v>20814.552</v>
      </c>
      <c r="H101" s="4">
        <f t="shared" si="6"/>
        <v>14570.1864</v>
      </c>
      <c r="I101" s="4">
        <f t="shared" si="7"/>
        <v>20814.552</v>
      </c>
      <c r="J101">
        <v>0</v>
      </c>
      <c r="K101">
        <v>5</v>
      </c>
    </row>
    <row r="102" spans="1:11">
      <c r="A102" s="27" t="s">
        <v>211</v>
      </c>
      <c r="B102" s="28">
        <v>607869291282</v>
      </c>
      <c r="C102" s="29" t="s">
        <v>212</v>
      </c>
      <c r="D102">
        <v>7</v>
      </c>
      <c r="E102">
        <v>1</v>
      </c>
      <c r="F102">
        <v>19</v>
      </c>
      <c r="G102" s="23">
        <v>20814.552</v>
      </c>
      <c r="H102" s="4">
        <f t="shared" si="6"/>
        <v>14570.1864</v>
      </c>
      <c r="I102" s="4">
        <f t="shared" si="7"/>
        <v>20814.552</v>
      </c>
      <c r="J102">
        <v>0</v>
      </c>
      <c r="K102">
        <v>5</v>
      </c>
    </row>
    <row r="103" spans="1:11">
      <c r="A103" s="24" t="s">
        <v>213</v>
      </c>
      <c r="B103" s="25">
        <v>607869291251</v>
      </c>
      <c r="C103" s="26" t="s">
        <v>214</v>
      </c>
      <c r="D103">
        <v>7</v>
      </c>
      <c r="E103">
        <v>1</v>
      </c>
      <c r="F103">
        <v>19</v>
      </c>
      <c r="G103" s="19">
        <v>20814.552</v>
      </c>
      <c r="H103" s="4">
        <f t="shared" si="6"/>
        <v>14570.1864</v>
      </c>
      <c r="I103" s="4">
        <f t="shared" si="7"/>
        <v>20814.552</v>
      </c>
      <c r="J103">
        <v>0</v>
      </c>
      <c r="K103">
        <v>5</v>
      </c>
    </row>
    <row r="104" spans="1:11">
      <c r="A104" s="32" t="s">
        <v>215</v>
      </c>
      <c r="B104" s="25">
        <v>607869263357</v>
      </c>
      <c r="C104" s="26" t="s">
        <v>216</v>
      </c>
      <c r="D104">
        <v>7</v>
      </c>
      <c r="E104">
        <v>1</v>
      </c>
      <c r="F104">
        <v>19</v>
      </c>
      <c r="G104" s="33">
        <v>20814.552</v>
      </c>
      <c r="H104" s="4">
        <f t="shared" si="6"/>
        <v>14570.1864</v>
      </c>
      <c r="I104" s="4">
        <f t="shared" si="7"/>
        <v>20814.552</v>
      </c>
      <c r="J104">
        <v>0</v>
      </c>
      <c r="K104">
        <v>5</v>
      </c>
    </row>
    <row r="105" spans="1:11">
      <c r="A105" s="24" t="s">
        <v>217</v>
      </c>
      <c r="B105" s="25">
        <v>607869278092</v>
      </c>
      <c r="C105" s="26" t="s">
        <v>218</v>
      </c>
      <c r="D105">
        <v>7</v>
      </c>
      <c r="E105">
        <v>1</v>
      </c>
      <c r="F105">
        <v>19</v>
      </c>
      <c r="G105" s="19">
        <v>20814.552</v>
      </c>
      <c r="H105" s="4">
        <f t="shared" si="6"/>
        <v>14570.1864</v>
      </c>
      <c r="I105" s="4">
        <f t="shared" si="7"/>
        <v>20814.552</v>
      </c>
      <c r="J105">
        <v>0</v>
      </c>
      <c r="K105">
        <v>5</v>
      </c>
    </row>
    <row r="106" spans="1:11">
      <c r="A106" s="27" t="s">
        <v>219</v>
      </c>
      <c r="B106" s="28">
        <v>607869282198</v>
      </c>
      <c r="C106" s="29" t="s">
        <v>220</v>
      </c>
      <c r="D106">
        <v>7</v>
      </c>
      <c r="E106">
        <v>1</v>
      </c>
      <c r="F106">
        <v>19</v>
      </c>
      <c r="G106" s="31">
        <v>20814.552</v>
      </c>
      <c r="H106" s="4">
        <f t="shared" si="6"/>
        <v>14570.1864</v>
      </c>
      <c r="I106" s="4">
        <f t="shared" si="7"/>
        <v>20814.552</v>
      </c>
      <c r="J106">
        <v>0</v>
      </c>
      <c r="K106">
        <v>5</v>
      </c>
    </row>
    <row r="107" spans="1:11">
      <c r="A107" s="27" t="s">
        <v>221</v>
      </c>
      <c r="B107" s="28">
        <v>607869282211</v>
      </c>
      <c r="C107" s="29" t="s">
        <v>222</v>
      </c>
      <c r="D107">
        <v>7</v>
      </c>
      <c r="E107">
        <v>1</v>
      </c>
      <c r="F107">
        <v>19</v>
      </c>
      <c r="G107" s="34">
        <v>20814.552</v>
      </c>
      <c r="H107" s="4">
        <f t="shared" si="6"/>
        <v>14570.1864</v>
      </c>
      <c r="I107" s="4">
        <f t="shared" si="7"/>
        <v>20814.552</v>
      </c>
      <c r="J107">
        <v>0</v>
      </c>
      <c r="K107">
        <v>5</v>
      </c>
    </row>
    <row r="108" spans="1:11">
      <c r="A108" s="32" t="s">
        <v>223</v>
      </c>
      <c r="B108" s="25">
        <v>607869282167</v>
      </c>
      <c r="C108" s="26" t="s">
        <v>224</v>
      </c>
      <c r="D108">
        <v>7</v>
      </c>
      <c r="E108">
        <v>1</v>
      </c>
      <c r="F108">
        <v>19</v>
      </c>
      <c r="G108" s="33">
        <v>20814.552</v>
      </c>
      <c r="H108" s="4">
        <f t="shared" si="6"/>
        <v>14570.1864</v>
      </c>
      <c r="I108" s="4">
        <f t="shared" si="7"/>
        <v>20814.552</v>
      </c>
      <c r="J108">
        <v>0</v>
      </c>
      <c r="K108">
        <v>5</v>
      </c>
    </row>
    <row r="109" spans="1:11">
      <c r="A109" s="32" t="s">
        <v>225</v>
      </c>
      <c r="B109" s="25">
        <v>607869291275</v>
      </c>
      <c r="C109" s="26" t="s">
        <v>226</v>
      </c>
      <c r="D109">
        <v>7</v>
      </c>
      <c r="E109">
        <v>1</v>
      </c>
      <c r="F109">
        <v>19</v>
      </c>
      <c r="G109" s="19">
        <v>20814.552</v>
      </c>
      <c r="H109" s="4">
        <f t="shared" si="6"/>
        <v>14570.1864</v>
      </c>
      <c r="I109" s="4">
        <f t="shared" si="7"/>
        <v>20814.552</v>
      </c>
      <c r="J109">
        <v>0</v>
      </c>
      <c r="K109">
        <v>5</v>
      </c>
    </row>
    <row r="110" spans="1:11">
      <c r="A110" s="27" t="s">
        <v>227</v>
      </c>
      <c r="B110" s="28">
        <v>607869282174</v>
      </c>
      <c r="C110" s="29" t="s">
        <v>228</v>
      </c>
      <c r="D110">
        <v>7</v>
      </c>
      <c r="E110">
        <v>1</v>
      </c>
      <c r="F110">
        <v>19</v>
      </c>
      <c r="G110" s="31">
        <v>20814.552</v>
      </c>
      <c r="H110" s="4">
        <f t="shared" si="6"/>
        <v>14570.1864</v>
      </c>
      <c r="I110" s="4">
        <f t="shared" si="7"/>
        <v>20814.552</v>
      </c>
      <c r="J110">
        <v>0</v>
      </c>
      <c r="K110">
        <v>5</v>
      </c>
    </row>
    <row r="111" spans="1:11">
      <c r="A111" s="32" t="s">
        <v>229</v>
      </c>
      <c r="B111" s="25">
        <v>607869282204</v>
      </c>
      <c r="C111" s="26" t="s">
        <v>230</v>
      </c>
      <c r="D111">
        <v>7</v>
      </c>
      <c r="E111">
        <v>1</v>
      </c>
      <c r="F111">
        <v>19</v>
      </c>
      <c r="G111" s="33">
        <v>20814.552</v>
      </c>
      <c r="H111" s="4">
        <f t="shared" si="6"/>
        <v>14570.1864</v>
      </c>
      <c r="I111" s="4">
        <f t="shared" si="7"/>
        <v>20814.552</v>
      </c>
      <c r="J111">
        <v>0</v>
      </c>
      <c r="K111">
        <v>5</v>
      </c>
    </row>
    <row r="112" spans="1:11">
      <c r="A112" s="32" t="s">
        <v>231</v>
      </c>
      <c r="B112" s="25">
        <v>607869282181</v>
      </c>
      <c r="C112" s="26" t="s">
        <v>232</v>
      </c>
      <c r="D112">
        <v>7</v>
      </c>
      <c r="E112">
        <v>1</v>
      </c>
      <c r="F112">
        <v>19</v>
      </c>
      <c r="G112" s="33">
        <v>20814.552</v>
      </c>
      <c r="H112" s="4">
        <f t="shared" si="6"/>
        <v>14570.1864</v>
      </c>
      <c r="I112" s="4">
        <f t="shared" si="7"/>
        <v>20814.552</v>
      </c>
      <c r="J112">
        <v>0</v>
      </c>
      <c r="K112">
        <v>5</v>
      </c>
    </row>
    <row r="113" spans="1:11">
      <c r="A113" s="32" t="s">
        <v>233</v>
      </c>
      <c r="B113" s="25">
        <v>607869291213</v>
      </c>
      <c r="C113" s="26" t="s">
        <v>234</v>
      </c>
      <c r="D113">
        <v>7</v>
      </c>
      <c r="E113">
        <v>1</v>
      </c>
      <c r="F113">
        <v>19</v>
      </c>
      <c r="G113" s="19">
        <v>11563.634</v>
      </c>
      <c r="H113" s="4">
        <f t="shared" si="6"/>
        <v>8094.5438</v>
      </c>
      <c r="I113" s="4">
        <f t="shared" si="7"/>
        <v>11563.634</v>
      </c>
      <c r="J113">
        <v>0</v>
      </c>
      <c r="K113">
        <v>5</v>
      </c>
    </row>
    <row r="114" spans="1:11">
      <c r="A114" s="27" t="s">
        <v>235</v>
      </c>
      <c r="B114" s="28">
        <v>607869291244</v>
      </c>
      <c r="C114" s="29" t="s">
        <v>236</v>
      </c>
      <c r="D114">
        <v>7</v>
      </c>
      <c r="E114">
        <v>1</v>
      </c>
      <c r="F114">
        <v>19</v>
      </c>
      <c r="G114" s="34">
        <v>11563.634</v>
      </c>
      <c r="H114" s="4">
        <f t="shared" si="6"/>
        <v>8094.5438</v>
      </c>
      <c r="I114" s="4">
        <f t="shared" si="7"/>
        <v>11563.634</v>
      </c>
      <c r="J114">
        <v>0</v>
      </c>
      <c r="K114">
        <v>5</v>
      </c>
    </row>
    <row r="115" spans="1:11">
      <c r="A115" s="32" t="s">
        <v>237</v>
      </c>
      <c r="B115" s="25">
        <v>607869291237</v>
      </c>
      <c r="C115" s="26" t="s">
        <v>238</v>
      </c>
      <c r="D115">
        <v>7</v>
      </c>
      <c r="E115">
        <v>1</v>
      </c>
      <c r="F115">
        <v>19</v>
      </c>
      <c r="G115" s="33">
        <v>11563.634</v>
      </c>
      <c r="H115" s="4">
        <f t="shared" si="6"/>
        <v>8094.5438</v>
      </c>
      <c r="I115" s="4">
        <f t="shared" si="7"/>
        <v>11563.634</v>
      </c>
      <c r="J115">
        <v>0</v>
      </c>
      <c r="K115">
        <v>5</v>
      </c>
    </row>
    <row r="116" spans="1:11">
      <c r="A116" s="27" t="s">
        <v>239</v>
      </c>
      <c r="B116" s="28">
        <v>607869291220</v>
      </c>
      <c r="C116" s="29" t="s">
        <v>240</v>
      </c>
      <c r="D116">
        <v>7</v>
      </c>
      <c r="E116">
        <v>1</v>
      </c>
      <c r="F116">
        <v>19</v>
      </c>
      <c r="G116" s="34">
        <v>11563.634</v>
      </c>
      <c r="H116" s="4">
        <f t="shared" si="6"/>
        <v>8094.5438</v>
      </c>
      <c r="I116" s="4">
        <f t="shared" si="7"/>
        <v>11563.634</v>
      </c>
      <c r="J116">
        <v>0</v>
      </c>
      <c r="K116">
        <v>5</v>
      </c>
    </row>
    <row r="117" spans="1:11">
      <c r="A117" s="32" t="s">
        <v>241</v>
      </c>
      <c r="B117" s="25">
        <v>607869264316</v>
      </c>
      <c r="C117" s="26" t="s">
        <v>242</v>
      </c>
      <c r="D117">
        <v>7</v>
      </c>
      <c r="E117">
        <v>1</v>
      </c>
      <c r="F117">
        <v>19</v>
      </c>
      <c r="G117" s="19">
        <v>10220.748</v>
      </c>
      <c r="H117" s="4">
        <f t="shared" si="6"/>
        <v>7154.5236</v>
      </c>
      <c r="I117" s="4">
        <f t="shared" si="7"/>
        <v>10220.748</v>
      </c>
      <c r="J117">
        <v>0</v>
      </c>
      <c r="K117">
        <v>5</v>
      </c>
    </row>
    <row r="118" spans="1:11">
      <c r="A118" s="27" t="s">
        <v>243</v>
      </c>
      <c r="B118" s="28">
        <v>607869264323</v>
      </c>
      <c r="C118" s="29" t="s">
        <v>244</v>
      </c>
      <c r="D118">
        <v>7</v>
      </c>
      <c r="E118">
        <v>1</v>
      </c>
      <c r="F118">
        <v>19</v>
      </c>
      <c r="G118" s="31">
        <v>10220.748</v>
      </c>
      <c r="H118" s="4">
        <f t="shared" si="6"/>
        <v>7154.5236</v>
      </c>
      <c r="I118" s="4">
        <f t="shared" si="7"/>
        <v>10220.748</v>
      </c>
      <c r="J118">
        <v>0</v>
      </c>
      <c r="K118">
        <v>5</v>
      </c>
    </row>
    <row r="119" spans="1:11">
      <c r="A119" s="27" t="s">
        <v>245</v>
      </c>
      <c r="B119" s="28">
        <v>607869264293</v>
      </c>
      <c r="C119" s="29" t="s">
        <v>246</v>
      </c>
      <c r="D119">
        <v>7</v>
      </c>
      <c r="E119">
        <v>1</v>
      </c>
      <c r="F119">
        <v>19</v>
      </c>
      <c r="G119" s="31">
        <v>10220.748</v>
      </c>
      <c r="H119" s="4">
        <f t="shared" si="6"/>
        <v>7154.5236</v>
      </c>
      <c r="I119" s="4">
        <f t="shared" si="7"/>
        <v>10220.748</v>
      </c>
      <c r="J119">
        <v>0</v>
      </c>
      <c r="K119">
        <v>5</v>
      </c>
    </row>
    <row r="120" spans="1:11">
      <c r="A120" s="32" t="s">
        <v>247</v>
      </c>
      <c r="B120" s="25">
        <v>607869264392</v>
      </c>
      <c r="C120" s="26" t="s">
        <v>248</v>
      </c>
      <c r="D120">
        <v>7</v>
      </c>
      <c r="E120">
        <v>1</v>
      </c>
      <c r="F120">
        <v>19</v>
      </c>
      <c r="G120" s="19">
        <v>14807.323</v>
      </c>
      <c r="H120" s="4">
        <f t="shared" si="6"/>
        <v>10365.1261</v>
      </c>
      <c r="I120" s="4">
        <f t="shared" si="7"/>
        <v>14807.323</v>
      </c>
      <c r="J120">
        <v>0</v>
      </c>
      <c r="K120">
        <v>5</v>
      </c>
    </row>
    <row r="121" spans="1:11">
      <c r="A121" s="32" t="s">
        <v>249</v>
      </c>
      <c r="B121" s="25">
        <v>607869264439</v>
      </c>
      <c r="C121" s="26" t="s">
        <v>250</v>
      </c>
      <c r="D121">
        <v>7</v>
      </c>
      <c r="E121">
        <v>1</v>
      </c>
      <c r="F121">
        <v>19</v>
      </c>
      <c r="G121" s="19">
        <v>14807.323</v>
      </c>
      <c r="H121" s="4">
        <f t="shared" si="6"/>
        <v>10365.1261</v>
      </c>
      <c r="I121" s="4">
        <f t="shared" si="7"/>
        <v>14807.323</v>
      </c>
      <c r="J121">
        <v>0</v>
      </c>
      <c r="K121">
        <v>5</v>
      </c>
    </row>
    <row r="122" spans="1:11">
      <c r="A122" s="27" t="s">
        <v>251</v>
      </c>
      <c r="B122" s="28">
        <v>607869264446</v>
      </c>
      <c r="C122" s="29" t="s">
        <v>252</v>
      </c>
      <c r="D122">
        <v>7</v>
      </c>
      <c r="E122">
        <v>1</v>
      </c>
      <c r="F122">
        <v>19</v>
      </c>
      <c r="G122" s="31">
        <v>14807.323</v>
      </c>
      <c r="H122" s="4">
        <f t="shared" si="6"/>
        <v>10365.1261</v>
      </c>
      <c r="I122" s="4">
        <f t="shared" si="7"/>
        <v>14807.323</v>
      </c>
      <c r="J122">
        <v>0</v>
      </c>
      <c r="K122">
        <v>5</v>
      </c>
    </row>
    <row r="123" spans="1:11">
      <c r="A123" s="27" t="s">
        <v>253</v>
      </c>
      <c r="B123" s="28">
        <v>607869264415</v>
      </c>
      <c r="C123" s="29" t="s">
        <v>254</v>
      </c>
      <c r="D123">
        <v>7</v>
      </c>
      <c r="E123">
        <v>1</v>
      </c>
      <c r="F123">
        <v>19</v>
      </c>
      <c r="G123" s="31">
        <v>14807.323</v>
      </c>
      <c r="H123" s="4">
        <f t="shared" si="6"/>
        <v>10365.1261</v>
      </c>
      <c r="I123" s="4">
        <f t="shared" si="7"/>
        <v>14807.323</v>
      </c>
      <c r="J123">
        <v>0</v>
      </c>
      <c r="K123">
        <v>5</v>
      </c>
    </row>
    <row r="124" spans="1:11">
      <c r="A124" s="27" t="s">
        <v>255</v>
      </c>
      <c r="B124" s="28">
        <v>607869279020</v>
      </c>
      <c r="C124" s="29" t="s">
        <v>256</v>
      </c>
      <c r="D124">
        <v>7</v>
      </c>
      <c r="E124">
        <v>1</v>
      </c>
      <c r="F124">
        <v>19</v>
      </c>
      <c r="G124" s="31">
        <v>42784.601</v>
      </c>
      <c r="H124" s="4">
        <f t="shared" si="6"/>
        <v>29949.2207</v>
      </c>
      <c r="I124" s="4">
        <f t="shared" si="7"/>
        <v>42784.601</v>
      </c>
      <c r="J124">
        <v>0</v>
      </c>
      <c r="K124">
        <v>5</v>
      </c>
    </row>
    <row r="125" spans="1:11">
      <c r="A125" s="27" t="s">
        <v>257</v>
      </c>
      <c r="B125" s="28">
        <v>607869263326</v>
      </c>
      <c r="C125" s="29" t="s">
        <v>258</v>
      </c>
      <c r="D125">
        <v>7</v>
      </c>
      <c r="E125">
        <v>1</v>
      </c>
      <c r="F125">
        <v>19</v>
      </c>
      <c r="G125" s="31">
        <v>41121.426</v>
      </c>
      <c r="H125" s="4">
        <f t="shared" si="6"/>
        <v>28784.9982</v>
      </c>
      <c r="I125" s="4">
        <f t="shared" si="7"/>
        <v>41121.426</v>
      </c>
      <c r="J125">
        <v>0</v>
      </c>
      <c r="K125">
        <v>5</v>
      </c>
    </row>
    <row r="126" spans="1:11">
      <c r="A126" s="32" t="s">
        <v>259</v>
      </c>
      <c r="B126" s="25">
        <v>607869247500</v>
      </c>
      <c r="C126" s="26" t="s">
        <v>260</v>
      </c>
      <c r="D126">
        <v>7</v>
      </c>
      <c r="E126">
        <v>1</v>
      </c>
      <c r="F126">
        <v>19</v>
      </c>
      <c r="G126" s="33">
        <v>41121.426</v>
      </c>
      <c r="H126" s="4">
        <f t="shared" si="6"/>
        <v>28784.9982</v>
      </c>
      <c r="I126" s="4">
        <f t="shared" si="7"/>
        <v>41121.426</v>
      </c>
      <c r="J126">
        <v>0</v>
      </c>
      <c r="K126">
        <v>5</v>
      </c>
    </row>
    <row r="127" spans="1:11">
      <c r="A127" s="32" t="s">
        <v>261</v>
      </c>
      <c r="B127" s="25">
        <v>607869279037</v>
      </c>
      <c r="C127" s="35" t="s">
        <v>262</v>
      </c>
      <c r="D127">
        <v>7</v>
      </c>
      <c r="E127">
        <v>1</v>
      </c>
      <c r="F127">
        <v>19</v>
      </c>
      <c r="G127" s="33">
        <v>41121.426</v>
      </c>
      <c r="H127" s="4">
        <f t="shared" si="6"/>
        <v>28784.9982</v>
      </c>
      <c r="I127" s="4">
        <f t="shared" si="7"/>
        <v>41121.426</v>
      </c>
      <c r="J127">
        <v>0</v>
      </c>
      <c r="K127">
        <v>5</v>
      </c>
    </row>
    <row r="128" spans="1:11">
      <c r="A128" s="36" t="s">
        <v>263</v>
      </c>
      <c r="B128" s="37">
        <v>607869291848</v>
      </c>
      <c r="C128" s="38" t="s">
        <v>264</v>
      </c>
      <c r="D128">
        <v>7</v>
      </c>
      <c r="E128">
        <v>1</v>
      </c>
      <c r="F128">
        <v>19</v>
      </c>
      <c r="G128" s="31">
        <v>41121.426</v>
      </c>
      <c r="H128" s="4">
        <f t="shared" si="6"/>
        <v>28784.9982</v>
      </c>
      <c r="I128" s="4">
        <f t="shared" si="7"/>
        <v>41121.426</v>
      </c>
      <c r="J128">
        <v>0</v>
      </c>
      <c r="K128">
        <v>5</v>
      </c>
    </row>
    <row r="129" spans="1:11">
      <c r="A129" s="39" t="s">
        <v>265</v>
      </c>
      <c r="B129" s="40">
        <v>607869291855</v>
      </c>
      <c r="C129" s="41" t="s">
        <v>266</v>
      </c>
      <c r="D129">
        <v>7</v>
      </c>
      <c r="E129">
        <v>1</v>
      </c>
      <c r="F129">
        <v>19</v>
      </c>
      <c r="G129" s="31">
        <v>41121.426</v>
      </c>
      <c r="H129" s="4">
        <f t="shared" si="6"/>
        <v>28784.9982</v>
      </c>
      <c r="I129" s="4">
        <f t="shared" si="7"/>
        <v>41121.426</v>
      </c>
      <c r="J129">
        <v>0</v>
      </c>
      <c r="K129">
        <v>5</v>
      </c>
    </row>
    <row r="130" spans="1:11">
      <c r="A130" s="39" t="s">
        <v>267</v>
      </c>
      <c r="B130" s="40">
        <v>607869291831</v>
      </c>
      <c r="C130" s="41" t="s">
        <v>268</v>
      </c>
      <c r="D130">
        <v>7</v>
      </c>
      <c r="E130">
        <v>1</v>
      </c>
      <c r="F130">
        <v>19</v>
      </c>
      <c r="G130" s="31">
        <v>41121.426</v>
      </c>
      <c r="H130" s="4">
        <f t="shared" ref="H130:H156" si="8">G130*0.7</f>
        <v>28784.9982</v>
      </c>
      <c r="I130" s="4">
        <f t="shared" ref="I130:I156" si="9">G130</f>
        <v>41121.426</v>
      </c>
      <c r="J130">
        <v>0</v>
      </c>
      <c r="K130">
        <v>5</v>
      </c>
    </row>
    <row r="131" spans="1:11">
      <c r="A131" s="32" t="s">
        <v>269</v>
      </c>
      <c r="B131" s="25">
        <v>607869279051</v>
      </c>
      <c r="C131" s="35" t="s">
        <v>270</v>
      </c>
      <c r="D131">
        <v>7</v>
      </c>
      <c r="E131">
        <v>1</v>
      </c>
      <c r="F131">
        <v>19</v>
      </c>
      <c r="G131" s="33">
        <v>52403.032</v>
      </c>
      <c r="H131" s="4">
        <f t="shared" si="8"/>
        <v>36682.1224</v>
      </c>
      <c r="I131" s="4">
        <f t="shared" si="9"/>
        <v>52403.032</v>
      </c>
      <c r="J131">
        <v>0</v>
      </c>
      <c r="K131">
        <v>5</v>
      </c>
    </row>
    <row r="132" spans="1:11">
      <c r="A132" s="32" t="s">
        <v>271</v>
      </c>
      <c r="B132" s="25">
        <v>607869247524</v>
      </c>
      <c r="C132" s="26" t="s">
        <v>272</v>
      </c>
      <c r="D132">
        <v>7</v>
      </c>
      <c r="E132">
        <v>1</v>
      </c>
      <c r="F132">
        <v>19</v>
      </c>
      <c r="G132" s="33">
        <v>52403.032</v>
      </c>
      <c r="H132" s="4">
        <f t="shared" si="8"/>
        <v>36682.1224</v>
      </c>
      <c r="I132" s="4">
        <f t="shared" si="9"/>
        <v>52403.032</v>
      </c>
      <c r="J132">
        <v>0</v>
      </c>
      <c r="K132">
        <v>5</v>
      </c>
    </row>
    <row r="133" spans="1:11">
      <c r="A133" s="27" t="s">
        <v>273</v>
      </c>
      <c r="B133" s="28">
        <v>607869247517</v>
      </c>
      <c r="C133" s="29" t="s">
        <v>274</v>
      </c>
      <c r="D133">
        <v>7</v>
      </c>
      <c r="E133">
        <v>1</v>
      </c>
      <c r="F133">
        <v>19</v>
      </c>
      <c r="G133" s="31">
        <v>52403.032</v>
      </c>
      <c r="H133" s="4">
        <f t="shared" si="8"/>
        <v>36682.1224</v>
      </c>
      <c r="I133" s="4">
        <f t="shared" si="9"/>
        <v>52403.032</v>
      </c>
      <c r="J133">
        <v>0</v>
      </c>
      <c r="K133">
        <v>5</v>
      </c>
    </row>
    <row r="134" spans="1:11">
      <c r="A134" s="39" t="s">
        <v>275</v>
      </c>
      <c r="B134" s="40">
        <v>607869279068</v>
      </c>
      <c r="C134" s="41" t="s">
        <v>276</v>
      </c>
      <c r="D134">
        <v>7</v>
      </c>
      <c r="E134">
        <v>1</v>
      </c>
      <c r="F134">
        <v>19</v>
      </c>
      <c r="G134" s="33">
        <v>52403.032</v>
      </c>
      <c r="H134" s="4">
        <f t="shared" si="8"/>
        <v>36682.1224</v>
      </c>
      <c r="I134" s="4">
        <f t="shared" si="9"/>
        <v>52403.032</v>
      </c>
      <c r="J134">
        <v>0</v>
      </c>
      <c r="K134">
        <v>5</v>
      </c>
    </row>
    <row r="135" spans="1:11">
      <c r="A135" s="39" t="s">
        <v>277</v>
      </c>
      <c r="B135" s="40">
        <v>607869291879</v>
      </c>
      <c r="C135" s="41" t="s">
        <v>278</v>
      </c>
      <c r="D135">
        <v>7</v>
      </c>
      <c r="E135">
        <v>1</v>
      </c>
      <c r="F135">
        <v>19</v>
      </c>
      <c r="G135" s="33">
        <v>52403.032</v>
      </c>
      <c r="H135" s="4">
        <f t="shared" si="8"/>
        <v>36682.1224</v>
      </c>
      <c r="I135" s="4">
        <f t="shared" si="9"/>
        <v>52403.032</v>
      </c>
      <c r="J135">
        <v>0</v>
      </c>
      <c r="K135">
        <v>5</v>
      </c>
    </row>
    <row r="136" spans="1:11">
      <c r="A136" s="32" t="s">
        <v>279</v>
      </c>
      <c r="B136" s="25">
        <v>607869291886</v>
      </c>
      <c r="C136" s="26" t="s">
        <v>280</v>
      </c>
      <c r="D136">
        <v>7</v>
      </c>
      <c r="E136">
        <v>1</v>
      </c>
      <c r="F136">
        <v>19</v>
      </c>
      <c r="G136" s="33">
        <v>52403.032</v>
      </c>
      <c r="H136" s="4">
        <f t="shared" si="8"/>
        <v>36682.1224</v>
      </c>
      <c r="I136" s="4">
        <f t="shared" si="9"/>
        <v>52403.032</v>
      </c>
      <c r="J136">
        <v>0</v>
      </c>
      <c r="K136">
        <v>5</v>
      </c>
    </row>
    <row r="137" spans="1:11">
      <c r="A137" s="36" t="s">
        <v>281</v>
      </c>
      <c r="B137" s="37">
        <v>607869291862</v>
      </c>
      <c r="C137" s="38" t="s">
        <v>282</v>
      </c>
      <c r="D137">
        <v>7</v>
      </c>
      <c r="E137">
        <v>1</v>
      </c>
      <c r="F137">
        <v>19</v>
      </c>
      <c r="G137" s="33">
        <v>52403.032</v>
      </c>
      <c r="H137" s="4">
        <f t="shared" si="8"/>
        <v>36682.1224</v>
      </c>
      <c r="I137" s="4">
        <f t="shared" si="9"/>
        <v>52403.032</v>
      </c>
      <c r="J137">
        <v>0</v>
      </c>
      <c r="K137">
        <v>5</v>
      </c>
    </row>
    <row r="138" spans="1:11">
      <c r="A138" s="32" t="s">
        <v>283</v>
      </c>
      <c r="B138" s="25">
        <v>607869247555</v>
      </c>
      <c r="C138" s="26" t="s">
        <v>284</v>
      </c>
      <c r="D138">
        <v>7</v>
      </c>
      <c r="E138">
        <v>1</v>
      </c>
      <c r="F138">
        <v>19</v>
      </c>
      <c r="G138" s="19">
        <v>25891.272</v>
      </c>
      <c r="H138" s="4">
        <f t="shared" si="8"/>
        <v>18123.8904</v>
      </c>
      <c r="I138" s="4">
        <f t="shared" si="9"/>
        <v>25891.272</v>
      </c>
      <c r="J138">
        <v>0</v>
      </c>
      <c r="K138">
        <v>5</v>
      </c>
    </row>
    <row r="139" spans="1:11">
      <c r="A139" s="42" t="s">
        <v>285</v>
      </c>
      <c r="B139" s="28">
        <v>607869247531</v>
      </c>
      <c r="C139" s="29" t="s">
        <v>286</v>
      </c>
      <c r="D139">
        <v>7</v>
      </c>
      <c r="E139">
        <v>1</v>
      </c>
      <c r="F139">
        <v>19</v>
      </c>
      <c r="G139" s="31">
        <v>25891.272</v>
      </c>
      <c r="H139" s="4">
        <f t="shared" si="8"/>
        <v>18123.8904</v>
      </c>
      <c r="I139" s="4">
        <f t="shared" si="9"/>
        <v>25891.272</v>
      </c>
      <c r="J139">
        <v>0</v>
      </c>
      <c r="K139">
        <v>5</v>
      </c>
    </row>
    <row r="140" spans="1:11">
      <c r="A140" s="32" t="s">
        <v>287</v>
      </c>
      <c r="B140" s="25">
        <v>607869247548</v>
      </c>
      <c r="C140" s="26" t="s">
        <v>288</v>
      </c>
      <c r="D140">
        <v>7</v>
      </c>
      <c r="E140">
        <v>1</v>
      </c>
      <c r="F140">
        <v>19</v>
      </c>
      <c r="G140" s="19">
        <v>25891.272</v>
      </c>
      <c r="H140" s="4">
        <f t="shared" si="8"/>
        <v>18123.8904</v>
      </c>
      <c r="I140" s="4">
        <f t="shared" si="9"/>
        <v>25891.272</v>
      </c>
      <c r="J140">
        <v>0</v>
      </c>
      <c r="K140">
        <v>5</v>
      </c>
    </row>
    <row r="141" spans="1:11">
      <c r="A141" s="32" t="s">
        <v>289</v>
      </c>
      <c r="B141" s="25">
        <v>607869282037</v>
      </c>
      <c r="C141" s="26" t="s">
        <v>290</v>
      </c>
      <c r="D141">
        <v>7</v>
      </c>
      <c r="E141">
        <v>1</v>
      </c>
      <c r="F141">
        <v>19</v>
      </c>
      <c r="G141" s="19">
        <v>18896.68</v>
      </c>
      <c r="H141" s="4">
        <f t="shared" si="8"/>
        <v>13227.676</v>
      </c>
      <c r="I141" s="4">
        <f t="shared" si="9"/>
        <v>18896.68</v>
      </c>
      <c r="J141">
        <v>0</v>
      </c>
      <c r="K141">
        <v>5</v>
      </c>
    </row>
    <row r="142" spans="1:11">
      <c r="A142" s="32" t="s">
        <v>291</v>
      </c>
      <c r="B142" s="25">
        <v>607869282013</v>
      </c>
      <c r="C142" s="26" t="s">
        <v>292</v>
      </c>
      <c r="D142">
        <v>7</v>
      </c>
      <c r="E142">
        <v>1</v>
      </c>
      <c r="F142">
        <v>19</v>
      </c>
      <c r="G142" s="33">
        <v>18896.68</v>
      </c>
      <c r="H142" s="4">
        <f t="shared" si="8"/>
        <v>13227.676</v>
      </c>
      <c r="I142" s="4">
        <f t="shared" si="9"/>
        <v>18896.68</v>
      </c>
      <c r="J142">
        <v>0</v>
      </c>
      <c r="K142">
        <v>5</v>
      </c>
    </row>
    <row r="143" spans="1:11">
      <c r="A143" s="27" t="s">
        <v>293</v>
      </c>
      <c r="B143" s="28">
        <v>607869282006</v>
      </c>
      <c r="C143" s="29" t="s">
        <v>294</v>
      </c>
      <c r="D143">
        <v>7</v>
      </c>
      <c r="E143">
        <v>1</v>
      </c>
      <c r="F143">
        <v>19</v>
      </c>
      <c r="G143" s="31">
        <v>18896.68</v>
      </c>
      <c r="H143" s="4">
        <f t="shared" si="8"/>
        <v>13227.676</v>
      </c>
      <c r="I143" s="4">
        <f t="shared" si="9"/>
        <v>18896.68</v>
      </c>
      <c r="J143">
        <v>0</v>
      </c>
      <c r="K143">
        <v>5</v>
      </c>
    </row>
    <row r="144" spans="1:11">
      <c r="A144" s="27" t="s">
        <v>295</v>
      </c>
      <c r="B144" s="28">
        <v>607869282020</v>
      </c>
      <c r="C144" s="29" t="s">
        <v>296</v>
      </c>
      <c r="D144">
        <v>7</v>
      </c>
      <c r="E144">
        <v>1</v>
      </c>
      <c r="F144">
        <v>19</v>
      </c>
      <c r="G144" s="34">
        <v>18896.68</v>
      </c>
      <c r="H144" s="4">
        <f t="shared" si="8"/>
        <v>13227.676</v>
      </c>
      <c r="I144" s="4">
        <f t="shared" si="9"/>
        <v>18896.68</v>
      </c>
      <c r="J144">
        <v>0</v>
      </c>
      <c r="K144">
        <v>5</v>
      </c>
    </row>
    <row r="145" spans="1:11">
      <c r="A145" s="42" t="s">
        <v>297</v>
      </c>
      <c r="B145" s="28">
        <v>607869282044</v>
      </c>
      <c r="C145" s="43" t="s">
        <v>298</v>
      </c>
      <c r="D145">
        <v>7</v>
      </c>
      <c r="E145">
        <v>1</v>
      </c>
      <c r="F145">
        <v>19</v>
      </c>
      <c r="G145" s="34">
        <v>18896.68</v>
      </c>
      <c r="H145" s="4">
        <f t="shared" si="8"/>
        <v>13227.676</v>
      </c>
      <c r="I145" s="4">
        <f t="shared" si="9"/>
        <v>18896.68</v>
      </c>
      <c r="J145">
        <v>0</v>
      </c>
      <c r="K145">
        <v>5</v>
      </c>
    </row>
    <row r="146" spans="1:11">
      <c r="A146" s="27" t="s">
        <v>299</v>
      </c>
      <c r="B146" s="28">
        <v>607869282082</v>
      </c>
      <c r="C146" s="29" t="s">
        <v>300</v>
      </c>
      <c r="D146">
        <v>7</v>
      </c>
      <c r="E146">
        <v>1</v>
      </c>
      <c r="F146">
        <v>19</v>
      </c>
      <c r="G146" s="34">
        <v>18896.68</v>
      </c>
      <c r="H146" s="4">
        <f t="shared" si="8"/>
        <v>13227.676</v>
      </c>
      <c r="I146" s="4">
        <f t="shared" si="9"/>
        <v>18896.68</v>
      </c>
      <c r="J146">
        <v>0</v>
      </c>
      <c r="K146">
        <v>5</v>
      </c>
    </row>
    <row r="147" spans="1:11">
      <c r="A147" s="27" t="s">
        <v>301</v>
      </c>
      <c r="B147" s="28">
        <v>607869282105</v>
      </c>
      <c r="C147" s="29" t="s">
        <v>302</v>
      </c>
      <c r="D147">
        <v>7</v>
      </c>
      <c r="E147">
        <v>1</v>
      </c>
      <c r="F147">
        <v>19</v>
      </c>
      <c r="G147" s="34">
        <v>18896.68</v>
      </c>
      <c r="H147" s="4">
        <f t="shared" si="8"/>
        <v>13227.676</v>
      </c>
      <c r="I147" s="4">
        <f t="shared" si="9"/>
        <v>18896.68</v>
      </c>
      <c r="J147">
        <v>0</v>
      </c>
      <c r="K147">
        <v>5</v>
      </c>
    </row>
    <row r="148" spans="1:11">
      <c r="A148" s="32" t="s">
        <v>303</v>
      </c>
      <c r="B148" s="25">
        <v>607869282051</v>
      </c>
      <c r="C148" s="26" t="s">
        <v>304</v>
      </c>
      <c r="D148">
        <v>7</v>
      </c>
      <c r="E148">
        <v>1</v>
      </c>
      <c r="F148">
        <v>19</v>
      </c>
      <c r="G148" s="19">
        <v>18896.68</v>
      </c>
      <c r="H148" s="4">
        <f t="shared" si="8"/>
        <v>13227.676</v>
      </c>
      <c r="I148" s="4">
        <f t="shared" si="9"/>
        <v>18896.68</v>
      </c>
      <c r="J148">
        <v>0</v>
      </c>
      <c r="K148">
        <v>5</v>
      </c>
    </row>
    <row r="149" spans="1:11">
      <c r="A149" s="42" t="s">
        <v>305</v>
      </c>
      <c r="B149" s="28">
        <v>607869282068</v>
      </c>
      <c r="C149" s="29" t="s">
        <v>306</v>
      </c>
      <c r="D149">
        <v>7</v>
      </c>
      <c r="E149">
        <v>1</v>
      </c>
      <c r="F149">
        <v>19</v>
      </c>
      <c r="G149" s="34">
        <v>18896.68</v>
      </c>
      <c r="H149" s="4">
        <f t="shared" si="8"/>
        <v>13227.676</v>
      </c>
      <c r="I149" s="4">
        <f t="shared" si="9"/>
        <v>18896.68</v>
      </c>
      <c r="J149">
        <v>0</v>
      </c>
      <c r="K149">
        <v>5</v>
      </c>
    </row>
    <row r="150" spans="1:11">
      <c r="A150" s="32" t="s">
        <v>307</v>
      </c>
      <c r="B150" s="44">
        <v>607869282099</v>
      </c>
      <c r="C150" s="35" t="s">
        <v>308</v>
      </c>
      <c r="D150">
        <v>7</v>
      </c>
      <c r="E150">
        <v>1</v>
      </c>
      <c r="F150">
        <v>19</v>
      </c>
      <c r="G150" s="33">
        <v>18896.68</v>
      </c>
      <c r="H150" s="4">
        <f t="shared" si="8"/>
        <v>13227.676</v>
      </c>
      <c r="I150" s="4">
        <f t="shared" si="9"/>
        <v>18896.68</v>
      </c>
      <c r="J150">
        <v>0</v>
      </c>
      <c r="K150">
        <v>5</v>
      </c>
    </row>
    <row r="151" spans="1:11">
      <c r="A151" s="45" t="s">
        <v>309</v>
      </c>
      <c r="B151" s="46">
        <v>607869282075</v>
      </c>
      <c r="C151" s="47" t="s">
        <v>310</v>
      </c>
      <c r="D151">
        <v>7</v>
      </c>
      <c r="E151">
        <v>1</v>
      </c>
      <c r="F151">
        <v>19</v>
      </c>
      <c r="G151" s="33">
        <v>18896.68</v>
      </c>
      <c r="H151" s="4">
        <f t="shared" si="8"/>
        <v>13227.676</v>
      </c>
      <c r="I151" s="4">
        <f t="shared" si="9"/>
        <v>18896.68</v>
      </c>
      <c r="J151">
        <v>0</v>
      </c>
      <c r="K151">
        <v>5</v>
      </c>
    </row>
    <row r="152" spans="1:11">
      <c r="A152" s="48" t="s">
        <v>311</v>
      </c>
      <c r="B152" s="49">
        <v>607869282143</v>
      </c>
      <c r="C152" s="50" t="s">
        <v>312</v>
      </c>
      <c r="D152">
        <v>7</v>
      </c>
      <c r="E152">
        <v>1</v>
      </c>
      <c r="F152">
        <v>19</v>
      </c>
      <c r="G152" s="34">
        <v>20588.926</v>
      </c>
      <c r="H152" s="4">
        <f t="shared" si="8"/>
        <v>14412.2482</v>
      </c>
      <c r="I152" s="4">
        <f t="shared" si="9"/>
        <v>20588.926</v>
      </c>
      <c r="J152">
        <v>0</v>
      </c>
      <c r="K152">
        <v>5</v>
      </c>
    </row>
    <row r="153" spans="1:11">
      <c r="A153" s="42" t="s">
        <v>313</v>
      </c>
      <c r="B153" s="28">
        <v>607869282129</v>
      </c>
      <c r="C153" s="29" t="s">
        <v>314</v>
      </c>
      <c r="D153">
        <v>7</v>
      </c>
      <c r="E153">
        <v>1</v>
      </c>
      <c r="F153">
        <v>19</v>
      </c>
      <c r="G153" s="34">
        <v>20588.926</v>
      </c>
      <c r="H153" s="4">
        <f t="shared" si="8"/>
        <v>14412.2482</v>
      </c>
      <c r="I153" s="4">
        <f t="shared" si="9"/>
        <v>20588.926</v>
      </c>
      <c r="J153">
        <v>0</v>
      </c>
      <c r="K153">
        <v>5</v>
      </c>
    </row>
    <row r="154" spans="1:11">
      <c r="A154" s="32" t="s">
        <v>315</v>
      </c>
      <c r="B154" s="25">
        <v>607869282112</v>
      </c>
      <c r="C154" s="26" t="s">
        <v>316</v>
      </c>
      <c r="D154">
        <v>7</v>
      </c>
      <c r="E154">
        <v>1</v>
      </c>
      <c r="F154">
        <v>19</v>
      </c>
      <c r="G154" s="19">
        <v>20588.926</v>
      </c>
      <c r="H154" s="4">
        <f t="shared" si="8"/>
        <v>14412.2482</v>
      </c>
      <c r="I154" s="4">
        <f t="shared" si="9"/>
        <v>20588.926</v>
      </c>
      <c r="J154">
        <v>0</v>
      </c>
      <c r="K154">
        <v>5</v>
      </c>
    </row>
    <row r="155" spans="1:11">
      <c r="A155" s="32" t="s">
        <v>317</v>
      </c>
      <c r="B155" s="25">
        <v>607869282136</v>
      </c>
      <c r="C155" s="26" t="s">
        <v>318</v>
      </c>
      <c r="D155">
        <v>7</v>
      </c>
      <c r="E155">
        <v>1</v>
      </c>
      <c r="F155">
        <v>19</v>
      </c>
      <c r="G155" s="33">
        <v>20588.926</v>
      </c>
      <c r="H155" s="4">
        <f t="shared" si="8"/>
        <v>14412.2482</v>
      </c>
      <c r="I155" s="4">
        <f t="shared" si="9"/>
        <v>20588.926</v>
      </c>
      <c r="J155">
        <v>0</v>
      </c>
      <c r="K155">
        <v>5</v>
      </c>
    </row>
    <row r="156" spans="1:11">
      <c r="A156" s="32" t="s">
        <v>319</v>
      </c>
      <c r="B156" s="44">
        <v>607869282150</v>
      </c>
      <c r="C156" s="35" t="s">
        <v>320</v>
      </c>
      <c r="D156">
        <v>7</v>
      </c>
      <c r="E156">
        <v>1</v>
      </c>
      <c r="F156">
        <v>19</v>
      </c>
      <c r="G156" s="33">
        <v>20588.926</v>
      </c>
      <c r="H156" s="4">
        <f t="shared" si="8"/>
        <v>14412.2482</v>
      </c>
      <c r="I156" s="4">
        <f t="shared" si="9"/>
        <v>20588.926</v>
      </c>
      <c r="J156">
        <v>0</v>
      </c>
      <c r="K156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3" sqref="B3"/>
    </sheetView>
  </sheetViews>
  <sheetFormatPr defaultColWidth="11" defaultRowHeight="14.4" outlineLevelRow="1" outlineLevelCol="1"/>
  <sheetData>
    <row r="1" spans="1:2">
      <c r="A1" t="s">
        <v>321</v>
      </c>
      <c r="B1" t="s">
        <v>322</v>
      </c>
    </row>
    <row r="2" s="4" customFormat="1" spans="1:2">
      <c r="A2" s="4">
        <v>0.85</v>
      </c>
      <c r="B2" s="4">
        <v>1.15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A1" sqref="A1:K20"/>
    </sheetView>
  </sheetViews>
  <sheetFormatPr defaultColWidth="9.13888888888889" defaultRowHeight="14.4"/>
  <sheetData>
    <row r="1" spans="1:11">
      <c r="A1" s="1" t="s">
        <v>323</v>
      </c>
      <c r="B1" s="2">
        <v>7798382381925</v>
      </c>
      <c r="C1" s="1" t="s">
        <v>324</v>
      </c>
      <c r="D1">
        <v>7</v>
      </c>
      <c r="E1">
        <v>1</v>
      </c>
      <c r="F1">
        <v>18</v>
      </c>
      <c r="G1" s="3">
        <v>2481</v>
      </c>
      <c r="H1" s="4">
        <f t="shared" ref="H1:H20" si="0">G1*0.7</f>
        <v>1736.7</v>
      </c>
      <c r="I1" s="3">
        <v>2481</v>
      </c>
      <c r="J1">
        <v>0</v>
      </c>
      <c r="K1">
        <v>5</v>
      </c>
    </row>
    <row r="2" spans="1:11">
      <c r="A2" s="1" t="s">
        <v>325</v>
      </c>
      <c r="B2" s="2">
        <v>7798382381932</v>
      </c>
      <c r="C2" s="1" t="s">
        <v>326</v>
      </c>
      <c r="D2">
        <v>7</v>
      </c>
      <c r="E2">
        <v>1</v>
      </c>
      <c r="F2">
        <v>18</v>
      </c>
      <c r="G2" s="3">
        <v>2481</v>
      </c>
      <c r="H2" s="4">
        <f t="shared" si="0"/>
        <v>1736.7</v>
      </c>
      <c r="I2" s="3">
        <v>2481</v>
      </c>
      <c r="J2">
        <v>0</v>
      </c>
      <c r="K2">
        <v>5</v>
      </c>
    </row>
    <row r="3" spans="1:11">
      <c r="A3" s="1" t="s">
        <v>327</v>
      </c>
      <c r="B3" s="2">
        <v>7798382381925</v>
      </c>
      <c r="C3" s="1" t="s">
        <v>328</v>
      </c>
      <c r="D3">
        <v>7</v>
      </c>
      <c r="E3">
        <v>1</v>
      </c>
      <c r="F3">
        <v>18</v>
      </c>
      <c r="G3" s="3">
        <v>2481</v>
      </c>
      <c r="H3" s="4">
        <f t="shared" si="0"/>
        <v>1736.7</v>
      </c>
      <c r="I3" s="3">
        <v>2481</v>
      </c>
      <c r="J3">
        <v>0</v>
      </c>
      <c r="K3">
        <v>5</v>
      </c>
    </row>
    <row r="4" spans="1:11">
      <c r="A4" s="1" t="s">
        <v>329</v>
      </c>
      <c r="B4" s="2">
        <v>7798382381932</v>
      </c>
      <c r="C4" s="1" t="s">
        <v>330</v>
      </c>
      <c r="D4">
        <v>7</v>
      </c>
      <c r="E4">
        <v>1</v>
      </c>
      <c r="F4">
        <v>18</v>
      </c>
      <c r="G4" s="3">
        <v>2481</v>
      </c>
      <c r="H4" s="4">
        <f t="shared" si="0"/>
        <v>1736.7</v>
      </c>
      <c r="I4" s="3">
        <v>2481</v>
      </c>
      <c r="J4">
        <v>0</v>
      </c>
      <c r="K4">
        <v>5</v>
      </c>
    </row>
    <row r="5" spans="1:11">
      <c r="A5" s="1" t="s">
        <v>331</v>
      </c>
      <c r="B5" s="2">
        <v>0</v>
      </c>
      <c r="C5" s="1" t="s">
        <v>332</v>
      </c>
      <c r="D5">
        <v>7</v>
      </c>
      <c r="E5">
        <v>1</v>
      </c>
      <c r="F5">
        <v>18</v>
      </c>
      <c r="G5" s="3">
        <v>2481</v>
      </c>
      <c r="H5" s="4">
        <f t="shared" si="0"/>
        <v>1736.7</v>
      </c>
      <c r="I5" s="3">
        <v>2481</v>
      </c>
      <c r="J5">
        <v>0</v>
      </c>
      <c r="K5">
        <v>5</v>
      </c>
    </row>
    <row r="6" spans="1:11">
      <c r="A6" s="1" t="s">
        <v>333</v>
      </c>
      <c r="B6" s="2">
        <v>7798382381963</v>
      </c>
      <c r="C6" s="1" t="s">
        <v>334</v>
      </c>
      <c r="D6">
        <v>7</v>
      </c>
      <c r="E6">
        <v>1</v>
      </c>
      <c r="F6">
        <v>18</v>
      </c>
      <c r="G6" s="3">
        <v>2481</v>
      </c>
      <c r="H6" s="4">
        <f t="shared" si="0"/>
        <v>1736.7</v>
      </c>
      <c r="I6" s="3">
        <v>2481</v>
      </c>
      <c r="J6">
        <v>0</v>
      </c>
      <c r="K6">
        <v>5</v>
      </c>
    </row>
    <row r="7" spans="1:11">
      <c r="A7" s="1" t="s">
        <v>335</v>
      </c>
      <c r="B7" s="2">
        <v>7798382381895</v>
      </c>
      <c r="C7" s="1" t="s">
        <v>336</v>
      </c>
      <c r="D7">
        <v>7</v>
      </c>
      <c r="E7">
        <v>1</v>
      </c>
      <c r="F7">
        <v>18</v>
      </c>
      <c r="G7" s="3">
        <v>2481</v>
      </c>
      <c r="H7" s="4">
        <f t="shared" si="0"/>
        <v>1736.7</v>
      </c>
      <c r="I7" s="3">
        <v>2481</v>
      </c>
      <c r="J7">
        <v>0</v>
      </c>
      <c r="K7">
        <v>5</v>
      </c>
    </row>
    <row r="8" spans="1:11">
      <c r="A8" s="1" t="s">
        <v>337</v>
      </c>
      <c r="B8" s="2">
        <v>7798382382373</v>
      </c>
      <c r="C8" s="1" t="s">
        <v>338</v>
      </c>
      <c r="D8">
        <v>7</v>
      </c>
      <c r="E8">
        <v>1</v>
      </c>
      <c r="F8">
        <v>18</v>
      </c>
      <c r="G8" s="3">
        <v>2481</v>
      </c>
      <c r="H8" s="4">
        <f t="shared" si="0"/>
        <v>1736.7</v>
      </c>
      <c r="I8" s="3">
        <v>2481</v>
      </c>
      <c r="J8">
        <v>0</v>
      </c>
      <c r="K8">
        <v>5</v>
      </c>
    </row>
    <row r="9" spans="1:11">
      <c r="A9" s="1" t="s">
        <v>339</v>
      </c>
      <c r="B9" s="2">
        <v>7798382382380</v>
      </c>
      <c r="C9" s="1" t="s">
        <v>340</v>
      </c>
      <c r="D9">
        <v>7</v>
      </c>
      <c r="E9">
        <v>1</v>
      </c>
      <c r="F9">
        <v>18</v>
      </c>
      <c r="G9" s="3">
        <v>2481</v>
      </c>
      <c r="H9" s="4">
        <f t="shared" si="0"/>
        <v>1736.7</v>
      </c>
      <c r="I9" s="3">
        <v>2481</v>
      </c>
      <c r="J9">
        <v>0</v>
      </c>
      <c r="K9">
        <v>5</v>
      </c>
    </row>
    <row r="10" spans="1:11">
      <c r="A10" s="1" t="s">
        <v>341</v>
      </c>
      <c r="B10" s="2">
        <v>7798382381956</v>
      </c>
      <c r="C10" s="1" t="s">
        <v>342</v>
      </c>
      <c r="D10">
        <v>7</v>
      </c>
      <c r="E10">
        <v>1</v>
      </c>
      <c r="F10">
        <v>18</v>
      </c>
      <c r="G10" s="3">
        <v>2481</v>
      </c>
      <c r="H10" s="4">
        <f t="shared" si="0"/>
        <v>1736.7</v>
      </c>
      <c r="I10" s="3">
        <v>2481</v>
      </c>
      <c r="J10">
        <v>0</v>
      </c>
      <c r="K10">
        <v>5</v>
      </c>
    </row>
    <row r="11" spans="1:11">
      <c r="A11" s="1" t="s">
        <v>343</v>
      </c>
      <c r="B11" s="2">
        <v>7798382380485</v>
      </c>
      <c r="C11" s="1" t="s">
        <v>344</v>
      </c>
      <c r="D11">
        <v>7</v>
      </c>
      <c r="E11">
        <v>1</v>
      </c>
      <c r="F11">
        <v>18</v>
      </c>
      <c r="G11" s="3">
        <v>2481</v>
      </c>
      <c r="H11" s="4">
        <f t="shared" si="0"/>
        <v>1736.7</v>
      </c>
      <c r="I11" s="3">
        <v>2481</v>
      </c>
      <c r="J11">
        <v>0</v>
      </c>
      <c r="K11">
        <v>5</v>
      </c>
    </row>
    <row r="12" spans="1:11">
      <c r="A12" s="1" t="s">
        <v>345</v>
      </c>
      <c r="B12" s="2">
        <v>7798382380492</v>
      </c>
      <c r="C12" s="1" t="s">
        <v>346</v>
      </c>
      <c r="D12">
        <v>7</v>
      </c>
      <c r="E12">
        <v>1</v>
      </c>
      <c r="F12">
        <v>18</v>
      </c>
      <c r="G12" s="3">
        <v>1984.3</v>
      </c>
      <c r="H12" s="4">
        <f t="shared" si="0"/>
        <v>1389.01</v>
      </c>
      <c r="I12" s="3">
        <v>1984.3</v>
      </c>
      <c r="J12">
        <v>0</v>
      </c>
      <c r="K12">
        <v>5</v>
      </c>
    </row>
    <row r="13" spans="1:11">
      <c r="A13" s="1" t="s">
        <v>347</v>
      </c>
      <c r="B13" s="2">
        <v>7798382381901</v>
      </c>
      <c r="C13" s="1" t="s">
        <v>348</v>
      </c>
      <c r="D13">
        <v>7</v>
      </c>
      <c r="E13">
        <v>1</v>
      </c>
      <c r="F13">
        <v>18</v>
      </c>
      <c r="G13" s="3">
        <v>2481</v>
      </c>
      <c r="H13" s="4">
        <f t="shared" si="0"/>
        <v>1736.7</v>
      </c>
      <c r="I13" s="3">
        <v>2481</v>
      </c>
      <c r="J13">
        <v>0</v>
      </c>
      <c r="K13">
        <v>5</v>
      </c>
    </row>
    <row r="14" spans="1:11">
      <c r="A14" s="1" t="s">
        <v>349</v>
      </c>
      <c r="B14" s="2">
        <v>7798382381994</v>
      </c>
      <c r="C14" s="1" t="s">
        <v>350</v>
      </c>
      <c r="D14">
        <v>7</v>
      </c>
      <c r="E14">
        <v>1</v>
      </c>
      <c r="F14">
        <v>18</v>
      </c>
      <c r="G14" s="3">
        <v>2481</v>
      </c>
      <c r="H14" s="4">
        <f t="shared" si="0"/>
        <v>1736.7</v>
      </c>
      <c r="I14" s="3">
        <v>2481</v>
      </c>
      <c r="J14">
        <v>0</v>
      </c>
      <c r="K14">
        <v>5</v>
      </c>
    </row>
    <row r="15" spans="1:11">
      <c r="A15" s="1" t="s">
        <v>351</v>
      </c>
      <c r="B15" s="2">
        <v>7798382381918</v>
      </c>
      <c r="C15" s="1" t="s">
        <v>352</v>
      </c>
      <c r="D15">
        <v>7</v>
      </c>
      <c r="E15">
        <v>1</v>
      </c>
      <c r="F15">
        <v>18</v>
      </c>
      <c r="G15" s="3">
        <v>2481</v>
      </c>
      <c r="H15" s="4">
        <f t="shared" si="0"/>
        <v>1736.7</v>
      </c>
      <c r="I15" s="3">
        <v>2481</v>
      </c>
      <c r="J15">
        <v>0</v>
      </c>
      <c r="K15">
        <v>5</v>
      </c>
    </row>
    <row r="16" spans="1:11">
      <c r="A16" s="1" t="s">
        <v>353</v>
      </c>
      <c r="B16" s="2">
        <v>7798382382434</v>
      </c>
      <c r="C16" s="1" t="s">
        <v>354</v>
      </c>
      <c r="D16">
        <v>7</v>
      </c>
      <c r="E16">
        <v>1</v>
      </c>
      <c r="F16">
        <v>18</v>
      </c>
      <c r="G16" s="3">
        <v>2481</v>
      </c>
      <c r="H16" s="4">
        <f t="shared" si="0"/>
        <v>1736.7</v>
      </c>
      <c r="I16" s="3">
        <v>2481</v>
      </c>
      <c r="J16">
        <v>0</v>
      </c>
      <c r="K16">
        <v>5</v>
      </c>
    </row>
    <row r="17" spans="1:11">
      <c r="A17" s="1" t="s">
        <v>355</v>
      </c>
      <c r="B17" s="2">
        <v>7798382380508</v>
      </c>
      <c r="C17" s="1" t="s">
        <v>356</v>
      </c>
      <c r="D17">
        <v>7</v>
      </c>
      <c r="E17">
        <v>1</v>
      </c>
      <c r="F17">
        <v>18</v>
      </c>
      <c r="G17" s="3">
        <v>2481</v>
      </c>
      <c r="H17" s="4">
        <f t="shared" si="0"/>
        <v>1736.7</v>
      </c>
      <c r="I17" s="3">
        <v>2481</v>
      </c>
      <c r="J17">
        <v>0</v>
      </c>
      <c r="K17">
        <v>5</v>
      </c>
    </row>
    <row r="18" spans="1:11">
      <c r="A18" s="1" t="s">
        <v>357</v>
      </c>
      <c r="B18" s="2">
        <v>7798382382014</v>
      </c>
      <c r="C18" s="1" t="s">
        <v>358</v>
      </c>
      <c r="D18">
        <v>7</v>
      </c>
      <c r="E18">
        <v>1</v>
      </c>
      <c r="F18">
        <v>18</v>
      </c>
      <c r="G18" s="3">
        <v>2481</v>
      </c>
      <c r="H18" s="4">
        <f t="shared" si="0"/>
        <v>1736.7</v>
      </c>
      <c r="I18" s="3">
        <v>2481</v>
      </c>
      <c r="J18">
        <v>0</v>
      </c>
      <c r="K18">
        <v>5</v>
      </c>
    </row>
    <row r="19" spans="1:11">
      <c r="A19" s="1" t="s">
        <v>359</v>
      </c>
      <c r="B19" s="2">
        <v>7798382382007</v>
      </c>
      <c r="C19" s="1" t="s">
        <v>360</v>
      </c>
      <c r="D19">
        <v>7</v>
      </c>
      <c r="E19">
        <v>1</v>
      </c>
      <c r="F19">
        <v>18</v>
      </c>
      <c r="G19" s="3">
        <v>2481</v>
      </c>
      <c r="H19" s="4">
        <f t="shared" si="0"/>
        <v>1736.7</v>
      </c>
      <c r="I19" s="3">
        <v>2481</v>
      </c>
      <c r="J19">
        <v>0</v>
      </c>
      <c r="K19">
        <v>5</v>
      </c>
    </row>
    <row r="20" spans="1:11">
      <c r="A20" s="1" t="s">
        <v>361</v>
      </c>
      <c r="B20" s="2">
        <v>7798382384193</v>
      </c>
      <c r="C20" s="1" t="s">
        <v>362</v>
      </c>
      <c r="D20">
        <v>7</v>
      </c>
      <c r="E20">
        <v>1</v>
      </c>
      <c r="F20">
        <v>18</v>
      </c>
      <c r="G20" s="3">
        <v>10252.83</v>
      </c>
      <c r="H20" s="4">
        <f t="shared" si="0"/>
        <v>7176.981</v>
      </c>
      <c r="I20" s="3">
        <v>10252.83</v>
      </c>
      <c r="J20">
        <v>0</v>
      </c>
      <c r="K20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</dc:creator>
  <cp:lastModifiedBy>Alejandro Zalazar</cp:lastModifiedBy>
  <dcterms:created xsi:type="dcterms:W3CDTF">2018-11-21T17:52:00Z</dcterms:created>
  <dcterms:modified xsi:type="dcterms:W3CDTF">2024-07-07T11:55:42Z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FB1B98DF18EA4090AC162A06D12E04E8</vt:lpwstr>
  </property>
  <property fmtid="{D5CDD505-2E9C-101B-9397-08002B2CF9AE}" pid="3" name="KSOProductBuildVer">
    <vt:lpwstr>1033-12.2.0.17119</vt:lpwstr>
  </property>
</Properties>
</file>